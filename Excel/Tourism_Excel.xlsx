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FTN_Project\Tourism\Excel\"/>
    </mc:Choice>
  </mc:AlternateContent>
  <xr:revisionPtr revIDLastSave="0" documentId="13_ncr:1_{F80C7DF0-9E7A-45AF-ACA6-0EB0336781FC}" xr6:coauthVersionLast="47" xr6:coauthVersionMax="47" xr10:uidLastSave="{00000000-0000-0000-0000-000000000000}"/>
  <bookViews>
    <workbookView xWindow="28680" yWindow="-120" windowWidth="29040" windowHeight="15720" activeTab="4" xr2:uid="{C6620C0C-C52A-4455-B798-C999E0A78242}"/>
  </bookViews>
  <sheets>
    <sheet name="Raw_Data" sheetId="2" r:id="rId1"/>
    <sheet name="Clean_Data" sheetId="6" state="hidden" r:id="rId2"/>
    <sheet name="Charts" sheetId="4" state="hidden" r:id="rId3"/>
    <sheet name="Sheet2" sheetId="8" r:id="rId4"/>
    <sheet name="Dashboard (2)" sheetId="11" r:id="rId5"/>
    <sheet name="Dashboard" sheetId="5" r:id="rId6"/>
  </sheets>
  <definedNames>
    <definedName name="_xlcn.WorksheetConnection_Raw_DataA1M381" hidden="1">Raw_Data!$A$1:$M$38</definedName>
    <definedName name="ExternalData_1" localSheetId="1" hidden="1">Clean_Data!$A$1:$H$41</definedName>
    <definedName name="ExternalData_1" localSheetId="0" hidden="1">Raw_Data!$A$1:$K$41</definedName>
    <definedName name="Slicer_States_UTs">#N/A</definedName>
    <definedName name="Slicer_Tourism_Zone">#N/A</definedName>
  </definedNames>
  <calcPr calcId="191029"/>
  <pivotCaches>
    <pivotCache cacheId="451" r:id="rId7"/>
    <pivotCache cacheId="454" r:id="rId8"/>
    <pivotCache cacheId="457" r:id="rId9"/>
    <pivotCache cacheId="460" r:id="rId10"/>
    <pivotCache cacheId="463" r:id="rId11"/>
    <pivotCache cacheId="466" r:id="rId12"/>
    <pivotCache cacheId="469"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_Data!$A$1:$M$3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2" l="1" a="1"/>
  <c r="M7" i="2" s="1"/>
  <c r="H47"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I34" i="2" s="1"/>
  <c r="G35" i="2"/>
  <c r="G36" i="2"/>
  <c r="G37" i="2"/>
  <c r="G38" i="2"/>
  <c r="G39" i="2"/>
  <c r="G40" i="2"/>
  <c r="G41" i="2"/>
  <c r="H2" i="2"/>
  <c r="H3" i="2"/>
  <c r="H4" i="2"/>
  <c r="I4" i="2" s="1"/>
  <c r="H5" i="2"/>
  <c r="H6" i="2"/>
  <c r="H7" i="2"/>
  <c r="I7" i="2" s="1"/>
  <c r="H8" i="2"/>
  <c r="I8" i="2" s="1"/>
  <c r="H9" i="2"/>
  <c r="I9" i="2" s="1"/>
  <c r="H10" i="2"/>
  <c r="H11" i="2"/>
  <c r="H12" i="2"/>
  <c r="H13" i="2"/>
  <c r="H14" i="2"/>
  <c r="H15" i="2"/>
  <c r="H16" i="2"/>
  <c r="H17" i="2"/>
  <c r="H18" i="2"/>
  <c r="H19" i="2"/>
  <c r="H20" i="2"/>
  <c r="I20" i="2" s="1"/>
  <c r="H21" i="2"/>
  <c r="H22" i="2"/>
  <c r="H23" i="2"/>
  <c r="I23" i="2" s="1"/>
  <c r="H24" i="2"/>
  <c r="I24" i="2" s="1"/>
  <c r="H25" i="2"/>
  <c r="I25" i="2" s="1"/>
  <c r="H26" i="2"/>
  <c r="I26" i="2" s="1"/>
  <c r="L26" i="2" s="1"/>
  <c r="H27" i="2"/>
  <c r="I27" i="2" s="1"/>
  <c r="L27" i="2" s="1"/>
  <c r="H28" i="2"/>
  <c r="H29" i="2"/>
  <c r="H30" i="2"/>
  <c r="H31" i="2"/>
  <c r="H32" i="2"/>
  <c r="H33" i="2"/>
  <c r="H34" i="2"/>
  <c r="H35" i="2"/>
  <c r="H36" i="2"/>
  <c r="I36" i="2" s="1"/>
  <c r="H37" i="2"/>
  <c r="H38" i="2"/>
  <c r="H39" i="2"/>
  <c r="I39" i="2" s="1"/>
  <c r="H40" i="2"/>
  <c r="I40" i="2" s="1"/>
  <c r="H41" i="2"/>
  <c r="I41" i="2" s="1"/>
  <c r="I2" i="2"/>
  <c r="M2" i="2" s="1" a="1"/>
  <c r="M2" i="2" s="1"/>
  <c r="I3" i="2"/>
  <c r="L3" i="2" s="1"/>
  <c r="I28" i="2"/>
  <c r="M28" i="2" s="1" a="1"/>
  <c r="M28" i="2" s="1"/>
  <c r="C89" i="8"/>
  <c r="E89" i="8"/>
  <c r="E173" i="8"/>
  <c r="C88" i="8"/>
  <c r="C173" i="8"/>
  <c r="C87" i="8"/>
  <c r="I15" i="2" l="1"/>
  <c r="M15" i="2" s="1" a="1"/>
  <c r="M15" i="2" s="1"/>
  <c r="I37" i="2"/>
  <c r="M37" i="2" s="1" a="1"/>
  <c r="M37" i="2" s="1"/>
  <c r="I21" i="2"/>
  <c r="I29" i="2"/>
  <c r="I11" i="2"/>
  <c r="L11" i="2" s="1"/>
  <c r="I10" i="2"/>
  <c r="M10" i="2" s="1" a="1"/>
  <c r="M10" i="2" s="1"/>
  <c r="I5" i="2"/>
  <c r="I22" i="2"/>
  <c r="M22" i="2" s="1" a="1"/>
  <c r="M22" i="2" s="1"/>
  <c r="L2" i="2"/>
  <c r="I33" i="2"/>
  <c r="M33" i="2" s="1" a="1"/>
  <c r="M33" i="2" s="1"/>
  <c r="L34" i="2"/>
  <c r="M34" i="2" a="1"/>
  <c r="M34" i="2" s="1"/>
  <c r="L21" i="2"/>
  <c r="M21" i="2" a="1"/>
  <c r="M21" i="2" s="1"/>
  <c r="M11" i="2" a="1"/>
  <c r="M11" i="2" s="1"/>
  <c r="I35" i="2"/>
  <c r="M35" i="2" s="1" a="1"/>
  <c r="M35" i="2" s="1"/>
  <c r="I17" i="2"/>
  <c r="M17" i="2" s="1" a="1"/>
  <c r="M17" i="2" s="1"/>
  <c r="I18" i="2"/>
  <c r="M18" i="2" s="1" a="1"/>
  <c r="M18" i="2" s="1"/>
  <c r="M3" i="2" a="1"/>
  <c r="M3" i="2" s="1"/>
  <c r="I13" i="2"/>
  <c r="M13" i="2" s="1" a="1"/>
  <c r="M13" i="2" s="1"/>
  <c r="I14" i="2"/>
  <c r="I30" i="2"/>
  <c r="M30" i="2" s="1" a="1"/>
  <c r="M30" i="2" s="1"/>
  <c r="I38" i="2"/>
  <c r="M38" i="2" s="1" a="1"/>
  <c r="M38" i="2" s="1"/>
  <c r="L22" i="2"/>
  <c r="B174" i="8"/>
  <c r="L37" i="2"/>
  <c r="L29" i="2"/>
  <c r="M29" i="2" a="1"/>
  <c r="M29" i="2" s="1"/>
  <c r="M14" i="2" a="1"/>
  <c r="M14" i="2" s="1"/>
  <c r="L14" i="2"/>
  <c r="L33" i="2"/>
  <c r="L17" i="2"/>
  <c r="L15" i="2"/>
  <c r="I6" i="2"/>
  <c r="M6" i="2" s="1" a="1"/>
  <c r="M6" i="2" s="1"/>
  <c r="I19" i="2"/>
  <c r="M19" i="2" s="1" a="1"/>
  <c r="M19" i="2" s="1"/>
  <c r="L28" i="2"/>
  <c r="M27" i="2" a="1"/>
  <c r="M27" i="2" s="1"/>
  <c r="M26" i="2" a="1"/>
  <c r="M26" i="2" s="1"/>
  <c r="I16" i="2"/>
  <c r="M16" i="2" s="1" a="1"/>
  <c r="M16" i="2" s="1"/>
  <c r="I32" i="2"/>
  <c r="M32" i="2" s="1" a="1"/>
  <c r="M32" i="2" s="1"/>
  <c r="I31" i="2"/>
  <c r="M31" i="2" s="1" a="1"/>
  <c r="M31" i="2" s="1"/>
  <c r="M20" i="2" a="1"/>
  <c r="M20" i="2" s="1"/>
  <c r="L20" i="2"/>
  <c r="M41" i="2" a="1"/>
  <c r="M41" i="2" s="1"/>
  <c r="L41" i="2"/>
  <c r="M25" i="2" a="1"/>
  <c r="M25" i="2" s="1"/>
  <c r="L25" i="2"/>
  <c r="M9" i="2" a="1"/>
  <c r="M9" i="2" s="1"/>
  <c r="L9" i="2"/>
  <c r="L40" i="2"/>
  <c r="M40" i="2" a="1"/>
  <c r="M40" i="2" s="1"/>
  <c r="L8" i="2"/>
  <c r="M8" i="2" a="1"/>
  <c r="M8" i="2" s="1"/>
  <c r="L7" i="2"/>
  <c r="M5" i="2" a="1"/>
  <c r="M5" i="2" s="1"/>
  <c r="L5" i="2"/>
  <c r="M36" i="2" a="1"/>
  <c r="M36" i="2" s="1"/>
  <c r="L36" i="2"/>
  <c r="M4" i="2" a="1"/>
  <c r="M4" i="2" s="1"/>
  <c r="L4" i="2"/>
  <c r="M24" i="2" a="1"/>
  <c r="M24" i="2" s="1"/>
  <c r="L24" i="2"/>
  <c r="M23" i="2" a="1"/>
  <c r="M23" i="2" s="1"/>
  <c r="L23" i="2"/>
  <c r="M39" i="2" a="1"/>
  <c r="M39" i="2" s="1"/>
  <c r="L39" i="2"/>
  <c r="I12" i="2"/>
  <c r="M12" i="2" s="1" a="1"/>
  <c r="M12" i="2" s="1"/>
  <c r="L30" i="2" l="1"/>
  <c r="L10" i="2"/>
  <c r="L35" i="2"/>
  <c r="L13" i="2"/>
  <c r="L18" i="2"/>
  <c r="L38" i="2"/>
  <c r="L32" i="2"/>
  <c r="L31" i="2"/>
  <c r="L16" i="2"/>
  <c r="L12" i="2"/>
  <c r="L6" i="2"/>
  <c r="L1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5A9D79-AB00-40D1-94B7-5B9F01E7636B}" keepAlive="1" name="Query - statewise_tourist_visit" description="Connection to the 'statewise_tourist_visit' query in the workbook." type="5" refreshedVersion="8" background="1" saveData="1">
    <dbPr connection="Provider=Microsoft.Mashup.OleDb.1;Data Source=$Workbook$;Location=statewise_tourist_visit;Extended Properties=&quot;&quot;" command="SELECT * FROM [statewise_tourist_visit]"/>
  </connection>
  <connection id="2" xr16:uid="{0E98BDF5-6539-48AE-84D0-5D4EF9FC04F3}" keepAlive="1" name="Query - statewise_tourist_visit (2)" description="Connection to the 'statewise_tourist_visit (2)' query in the workbook." type="5" refreshedVersion="8" background="1" saveData="1">
    <dbPr connection="Provider=Microsoft.Mashup.OleDb.1;Data Source=$Workbook$;Location=&quot;statewise_tourist_visit (2)&quot;;Extended Properties=&quot;&quot;" command="SELECT * FROM [statewise_tourist_visit (2)]"/>
  </connection>
  <connection id="3" xr16:uid="{F491FF5A-0C00-4FD0-B965-2377ED2B3F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8154C8C-40B4-4B03-867C-1D2FEB1905DA}" name="WorksheetConnection_Raw_Data!$A$1:$M$38" type="102" refreshedVersion="8" minRefreshableVersion="5">
    <extLst>
      <ext xmlns:x15="http://schemas.microsoft.com/office/spreadsheetml/2010/11/main" uri="{DE250136-89BD-433C-8126-D09CA5730AF9}">
        <x15:connection id="Range" autoDelete="1">
          <x15:rangePr sourceName="_xlcn.WorksheetConnection_Raw_DataA1M3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<sst xmlns="http://schemas.openxmlformats.org/spreadsheetml/2006/main" count="402" uniqueCount="136">
  <si>
    <t>S. No.</t>
  </si>
  <si>
    <t>States/UTs *</t>
  </si>
  <si>
    <t>Domestic -2019</t>
  </si>
  <si>
    <t>Foreign - 2019</t>
  </si>
  <si>
    <t>Domestic -2020</t>
  </si>
  <si>
    <t>Foreign - 2020</t>
  </si>
  <si>
    <t>Growth rate - DTV  2020/19</t>
  </si>
  <si>
    <t>Growth rate - FTV 2020/19</t>
  </si>
  <si>
    <t>1</t>
  </si>
  <si>
    <t xml:space="preserve">A&amp;N Island </t>
  </si>
  <si>
    <t>2</t>
  </si>
  <si>
    <t xml:space="preserve">Andhra Pradesh  </t>
  </si>
  <si>
    <t>3</t>
  </si>
  <si>
    <t xml:space="preserve">Arunachal Pradesh </t>
  </si>
  <si>
    <t>4</t>
  </si>
  <si>
    <t xml:space="preserve">Assam </t>
  </si>
  <si>
    <t>5</t>
  </si>
  <si>
    <t xml:space="preserve">Bihar  </t>
  </si>
  <si>
    <t>6</t>
  </si>
  <si>
    <t xml:space="preserve">Chandigarh  </t>
  </si>
  <si>
    <t>7</t>
  </si>
  <si>
    <t xml:space="preserve">Chhattisgarh </t>
  </si>
  <si>
    <t>8</t>
  </si>
  <si>
    <t xml:space="preserve">Dadra &amp; Nagar Haveli </t>
  </si>
  <si>
    <t>9</t>
  </si>
  <si>
    <t>Daman &amp; Diu</t>
  </si>
  <si>
    <t>10</t>
  </si>
  <si>
    <t>Delhi #</t>
  </si>
  <si>
    <t>11</t>
  </si>
  <si>
    <t xml:space="preserve">Goa </t>
  </si>
  <si>
    <t>12</t>
  </si>
  <si>
    <t xml:space="preserve">Gujarat </t>
  </si>
  <si>
    <t>13</t>
  </si>
  <si>
    <t xml:space="preserve">Haryana </t>
  </si>
  <si>
    <t>14</t>
  </si>
  <si>
    <t xml:space="preserve">Himachal Pradesh  </t>
  </si>
  <si>
    <t>15</t>
  </si>
  <si>
    <t>Jharkhand</t>
  </si>
  <si>
    <t>16</t>
  </si>
  <si>
    <t xml:space="preserve">J&amp;K </t>
  </si>
  <si>
    <t>17</t>
  </si>
  <si>
    <t xml:space="preserve">Karnataka </t>
  </si>
  <si>
    <t>18</t>
  </si>
  <si>
    <t xml:space="preserve">Kerala </t>
  </si>
  <si>
    <t>19</t>
  </si>
  <si>
    <t xml:space="preserve">Lakshdweep </t>
  </si>
  <si>
    <t>20</t>
  </si>
  <si>
    <t>Ladakh</t>
  </si>
  <si>
    <t>21</t>
  </si>
  <si>
    <t>Madhya Pradesh</t>
  </si>
  <si>
    <t>22</t>
  </si>
  <si>
    <t>Maharashtra #</t>
  </si>
  <si>
    <t>23</t>
  </si>
  <si>
    <t xml:space="preserve">Manipur  </t>
  </si>
  <si>
    <t>24</t>
  </si>
  <si>
    <t xml:space="preserve">Meghalaya </t>
  </si>
  <si>
    <t>25</t>
  </si>
  <si>
    <t xml:space="preserve">Mizoram </t>
  </si>
  <si>
    <t>26</t>
  </si>
  <si>
    <t xml:space="preserve">Nagaland </t>
  </si>
  <si>
    <t>27</t>
  </si>
  <si>
    <t xml:space="preserve">Odisha </t>
  </si>
  <si>
    <t>28</t>
  </si>
  <si>
    <t>Puducherry</t>
  </si>
  <si>
    <t>29</t>
  </si>
  <si>
    <t xml:space="preserve">Punjab </t>
  </si>
  <si>
    <t>30</t>
  </si>
  <si>
    <t xml:space="preserve">Rajasthan  </t>
  </si>
  <si>
    <t>31</t>
  </si>
  <si>
    <t xml:space="preserve">Sikkim </t>
  </si>
  <si>
    <t>32</t>
  </si>
  <si>
    <t xml:space="preserve">Tamil Nadu </t>
  </si>
  <si>
    <t>33</t>
  </si>
  <si>
    <t>Telengana</t>
  </si>
  <si>
    <t>34</t>
  </si>
  <si>
    <t xml:space="preserve">Tripura </t>
  </si>
  <si>
    <t>35</t>
  </si>
  <si>
    <t>Uttar Pradesh</t>
  </si>
  <si>
    <t>36</t>
  </si>
  <si>
    <t xml:space="preserve">Uttarakhand </t>
  </si>
  <si>
    <t>37</t>
  </si>
  <si>
    <t xml:space="preserve">West Bengal </t>
  </si>
  <si>
    <t>Grand Total</t>
  </si>
  <si>
    <t/>
  </si>
  <si>
    <t xml:space="preserve"> </t>
  </si>
  <si>
    <t>Foreign Share</t>
  </si>
  <si>
    <t>Total_Vistor_Domestic</t>
  </si>
  <si>
    <t>Total_visitor_Foreign</t>
  </si>
  <si>
    <t>Total_Vistor</t>
  </si>
  <si>
    <t>Tourism Zone</t>
  </si>
  <si>
    <t>Row Labels</t>
  </si>
  <si>
    <t>A&amp;N Island</t>
  </si>
  <si>
    <t>Sum of Total_Vistor</t>
  </si>
  <si>
    <t>Sum of Total_Vistor_Domestic</t>
  </si>
  <si>
    <t>Sum of Total_visitor_Foreign</t>
  </si>
  <si>
    <t>Medium Tourism</t>
  </si>
  <si>
    <t>Sum of Growth rate - DTV  2020/19</t>
  </si>
  <si>
    <t>Sum of Growth rate - FTV 2020/19</t>
  </si>
  <si>
    <t>Sum of Domestic -2019</t>
  </si>
  <si>
    <t>Sum of Foreign - 2019</t>
  </si>
  <si>
    <t>Sum of Foreign - 2020</t>
  </si>
  <si>
    <t>Sum of Domestic -2020</t>
  </si>
  <si>
    <t>Min of Total_Vistor</t>
  </si>
  <si>
    <t>Total Fore</t>
  </si>
  <si>
    <t>Total Dome</t>
  </si>
  <si>
    <t>Average of Growth rate - DTV  2020/19</t>
  </si>
  <si>
    <t>Average of Growth rate - FTV 2020/19</t>
  </si>
  <si>
    <t>Andhra Pradesh</t>
  </si>
  <si>
    <t>High Tourism</t>
  </si>
  <si>
    <t>Bihar</t>
  </si>
  <si>
    <t>Chandigarh</t>
  </si>
  <si>
    <t>Arunachal Pradesh</t>
  </si>
  <si>
    <t>Assam</t>
  </si>
  <si>
    <t>Chhattisgarh</t>
  </si>
  <si>
    <t>Dadra &amp; Nagar Haveli</t>
  </si>
  <si>
    <t>Goa</t>
  </si>
  <si>
    <t>Gujarat</t>
  </si>
  <si>
    <t>Haryana</t>
  </si>
  <si>
    <t>Himachal Pradesh</t>
  </si>
  <si>
    <t>J&amp;K</t>
  </si>
  <si>
    <t>Karnataka</t>
  </si>
  <si>
    <t>Kerala</t>
  </si>
  <si>
    <t>Lakshdweep</t>
  </si>
  <si>
    <t>Manipur</t>
  </si>
  <si>
    <t>Meghalaya</t>
  </si>
  <si>
    <t>Mizoram</t>
  </si>
  <si>
    <t>Nagaland</t>
  </si>
  <si>
    <t>Odisha</t>
  </si>
  <si>
    <t>Punjab</t>
  </si>
  <si>
    <t>Rajasthan</t>
  </si>
  <si>
    <t>Sikkim</t>
  </si>
  <si>
    <t>Tamil Nadu</t>
  </si>
  <si>
    <t>Tripura</t>
  </si>
  <si>
    <t>Uttarakhand</t>
  </si>
  <si>
    <t>West Bengal</t>
  </si>
  <si>
    <t>Low 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</si>
</sst>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0,&quot;K&quot;"/>
    <numFmt numFmtId="166" formatCode="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 BY VISTOR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Sheet2!$B$175</c:f>
              <c:strCache>
                <c:ptCount val="1"/>
                <c:pt idx="0">
                  <c:v>Total</c:v>
                </c:pt>
              </c:strCache>
            </c:strRef>
          </c:tx>
          <c:spPr>
            <a:solidFill>
              <a:schemeClr val="accent1"/>
            </a:solidFill>
            <a:ln>
              <a:noFill/>
            </a:ln>
            <a:effectLst/>
          </c:spPr>
          <c:invertIfNegative val="0"/>
          <c:cat>
            <c:strRef>
              <c:f>Sheet2!$A$176:$A$213</c:f>
              <c:strCache>
                <c:ptCount val="37"/>
                <c:pt idx="0">
                  <c:v>Tamil Nadu</c:v>
                </c:pt>
                <c:pt idx="1">
                  <c:v>Uttar Pradesh</c:v>
                </c:pt>
                <c:pt idx="2">
                  <c:v>Andhra Pradesh</c:v>
                </c:pt>
                <c:pt idx="3">
                  <c:v>Karnataka</c:v>
                </c:pt>
                <c:pt idx="4">
                  <c:v>Maharashtra #</c:v>
                </c:pt>
                <c:pt idx="5">
                  <c:v>Telengana</c:v>
                </c:pt>
                <c:pt idx="6">
                  <c:v>West Bengal</c:v>
                </c:pt>
                <c:pt idx="7">
                  <c:v>Madhya Pradesh</c:v>
                </c:pt>
                <c:pt idx="8">
                  <c:v>Gujarat</c:v>
                </c:pt>
                <c:pt idx="9">
                  <c:v>Rajasthan</c:v>
                </c:pt>
                <c:pt idx="10">
                  <c:v>Punjab</c:v>
                </c:pt>
                <c:pt idx="11">
                  <c:v>Delhi #</c:v>
                </c:pt>
                <c:pt idx="12">
                  <c:v>Uttarakhand</c:v>
                </c:pt>
                <c:pt idx="13">
                  <c:v>Bihar</c:v>
                </c:pt>
                <c:pt idx="14">
                  <c:v>Jharkhand</c:v>
                </c:pt>
                <c:pt idx="15">
                  <c:v>Kerala</c:v>
                </c:pt>
                <c:pt idx="16">
                  <c:v>Himachal Pradesh</c:v>
                </c:pt>
                <c:pt idx="17">
                  <c:v>Chhattisgarh</c:v>
                </c:pt>
                <c:pt idx="18">
                  <c:v>Odisha</c:v>
                </c:pt>
                <c:pt idx="19">
                  <c:v>J&amp;K</c:v>
                </c:pt>
                <c:pt idx="20">
                  <c:v>Goa</c:v>
                </c:pt>
                <c:pt idx="21">
                  <c:v>Assam</c:v>
                </c:pt>
                <c:pt idx="22">
                  <c:v>Haryana</c:v>
                </c:pt>
                <c:pt idx="23">
                  <c:v>Puducherry</c:v>
                </c:pt>
                <c:pt idx="24">
                  <c:v>Chandigarh</c:v>
                </c:pt>
                <c:pt idx="25">
                  <c:v>Sikkim</c:v>
                </c:pt>
                <c:pt idx="26">
                  <c:v>Meghalaya</c:v>
                </c:pt>
                <c:pt idx="27">
                  <c:v>Daman &amp; Diu</c:v>
                </c:pt>
                <c:pt idx="28">
                  <c:v>Tripura</c:v>
                </c:pt>
                <c:pt idx="29">
                  <c:v>Dadra &amp; Nagar Haveli</c:v>
                </c:pt>
                <c:pt idx="30">
                  <c:v>A&amp;N Island</c:v>
                </c:pt>
                <c:pt idx="31">
                  <c:v>Arunachal Pradesh</c:v>
                </c:pt>
                <c:pt idx="32">
                  <c:v>Ladakh</c:v>
                </c:pt>
                <c:pt idx="33">
                  <c:v>Manipur</c:v>
                </c:pt>
                <c:pt idx="34">
                  <c:v>Mizoram</c:v>
                </c:pt>
                <c:pt idx="35">
                  <c:v>Nagaland</c:v>
                </c:pt>
                <c:pt idx="36">
                  <c:v>Lakshdweep</c:v>
                </c:pt>
              </c:strCache>
            </c:strRef>
          </c:cat>
          <c:val>
            <c:numRef>
              <c:f>Sheet2!$B$176:$B$213</c:f>
              <c:numCache>
                <c:formatCode>0.0,,"M"</c:formatCode>
                <c:ptCount val="37"/>
                <c:pt idx="0">
                  <c:v>643611148</c:v>
                </c:pt>
                <c:pt idx="1">
                  <c:v>627613568</c:v>
                </c:pt>
                <c:pt idx="2">
                  <c:v>308228045</c:v>
                </c:pt>
                <c:pt idx="3">
                  <c:v>306162132</c:v>
                </c:pt>
                <c:pt idx="4">
                  <c:v>195320407</c:v>
                </c:pt>
                <c:pt idx="5">
                  <c:v>123402915</c:v>
                </c:pt>
                <c:pt idx="6">
                  <c:v>123327187</c:v>
                </c:pt>
                <c:pt idx="7">
                  <c:v>112654548</c:v>
                </c:pt>
                <c:pt idx="8">
                  <c:v>79134832</c:v>
                </c:pt>
                <c:pt idx="9">
                  <c:v>69389687</c:v>
                </c:pt>
                <c:pt idx="10">
                  <c:v>65538041</c:v>
                </c:pt>
                <c:pt idx="11">
                  <c:v>49715935</c:v>
                </c:pt>
                <c:pt idx="12">
                  <c:v>44784796</c:v>
                </c:pt>
                <c:pt idx="13">
                  <c:v>41029283</c:v>
                </c:pt>
                <c:pt idx="14">
                  <c:v>38332005</c:v>
                </c:pt>
                <c:pt idx="15">
                  <c:v>24903731</c:v>
                </c:pt>
                <c:pt idx="16">
                  <c:v>20425486</c:v>
                </c:pt>
                <c:pt idx="17">
                  <c:v>20123872</c:v>
                </c:pt>
                <c:pt idx="18">
                  <c:v>20055244</c:v>
                </c:pt>
                <c:pt idx="19">
                  <c:v>18746091</c:v>
                </c:pt>
                <c:pt idx="20">
                  <c:v>11625866</c:v>
                </c:pt>
                <c:pt idx="21">
                  <c:v>6748866</c:v>
                </c:pt>
                <c:pt idx="22">
                  <c:v>6729268</c:v>
                </c:pt>
                <c:pt idx="23">
                  <c:v>3070189</c:v>
                </c:pt>
                <c:pt idx="24">
                  <c:v>2038098</c:v>
                </c:pt>
                <c:pt idx="25">
                  <c:v>1891554</c:v>
                </c:pt>
                <c:pt idx="26">
                  <c:v>1298491</c:v>
                </c:pt>
                <c:pt idx="27">
                  <c:v>1202325</c:v>
                </c:pt>
                <c:pt idx="28">
                  <c:v>751298</c:v>
                </c:pt>
                <c:pt idx="29">
                  <c:v>725177</c:v>
                </c:pt>
                <c:pt idx="30">
                  <c:v>718223</c:v>
                </c:pt>
                <c:pt idx="31">
                  <c:v>607296</c:v>
                </c:pt>
                <c:pt idx="32">
                  <c:v>287806</c:v>
                </c:pt>
                <c:pt idx="33">
                  <c:v>233976</c:v>
                </c:pt>
                <c:pt idx="34">
                  <c:v>197166</c:v>
                </c:pt>
                <c:pt idx="35">
                  <c:v>143023</c:v>
                </c:pt>
                <c:pt idx="36">
                  <c:v>11680</c:v>
                </c:pt>
              </c:numCache>
            </c:numRef>
          </c:val>
          <c:extLst>
            <c:ext xmlns:c16="http://schemas.microsoft.com/office/drawing/2014/chart" uri="{C3380CC4-5D6E-409C-BE32-E72D297353CC}">
              <c16:uniqueId val="{00000000-9DD2-4EF6-AB35-25A763B20DCC}"/>
            </c:ext>
          </c:extLst>
        </c:ser>
        <c:dLbls>
          <c:showLegendKey val="0"/>
          <c:showVal val="0"/>
          <c:showCatName val="0"/>
          <c:showSerName val="0"/>
          <c:showPercent val="0"/>
          <c:showBubbleSize val="0"/>
        </c:dLbls>
        <c:gapWidth val="219"/>
        <c:overlap val="-27"/>
        <c:axId val="1078136160"/>
        <c:axId val="1078138080"/>
      </c:barChart>
      <c:catAx>
        <c:axId val="107813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8080"/>
        <c:crosses val="autoZero"/>
        <c:auto val="1"/>
        <c:lblAlgn val="ctr"/>
        <c:lblOffset val="100"/>
        <c:noMultiLvlLbl val="0"/>
      </c:catAx>
      <c:valAx>
        <c:axId val="107813808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[Tourism_Excel.xlsx]Sheet2!PivotTable2</c:name>
    <c:fmtId val="1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Sheet2!$B$3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2C9C-45CC-AC3C-71041F3C304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2C9C-45CC-AC3C-71041F3C304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C9C-45CC-AC3C-71041F3C304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C9C-45CC-AC3C-71041F3C3040}"/>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2C9C-45CC-AC3C-71041F3C3040}"/>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2C9C-45CC-AC3C-71041F3C3040}"/>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2C9C-45CC-AC3C-71041F3C3040}"/>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2C9C-45CC-AC3C-71041F3C3040}"/>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2C9C-45CC-AC3C-71041F3C3040}"/>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2C9C-45CC-AC3C-71041F3C3040}"/>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2C9C-45CC-AC3C-71041F3C3040}"/>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2C9C-45CC-AC3C-71041F3C3040}"/>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2C9C-45CC-AC3C-71041F3C3040}"/>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2C9C-45CC-AC3C-71041F3C3040}"/>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2C9C-45CC-AC3C-71041F3C3040}"/>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2C9C-45CC-AC3C-71041F3C3040}"/>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2C9C-45CC-AC3C-71041F3C3040}"/>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2C9C-45CC-AC3C-71041F3C3040}"/>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2C9C-45CC-AC3C-71041F3C3040}"/>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2C9C-45CC-AC3C-71041F3C3040}"/>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2C9C-45CC-AC3C-71041F3C3040}"/>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2C9C-45CC-AC3C-71041F3C3040}"/>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2C9C-45CC-AC3C-71041F3C3040}"/>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2C9C-45CC-AC3C-71041F3C3040}"/>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2C9C-45CC-AC3C-71041F3C3040}"/>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2C9C-45CC-AC3C-71041F3C3040}"/>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2C9C-45CC-AC3C-71041F3C3040}"/>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2C9C-45CC-AC3C-71041F3C3040}"/>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2C9C-45CC-AC3C-71041F3C3040}"/>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2C9C-45CC-AC3C-71041F3C3040}"/>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2C9C-45CC-AC3C-71041F3C3040}"/>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2C9C-45CC-AC3C-71041F3C3040}"/>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2C9C-45CC-AC3C-71041F3C3040}"/>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2C9C-45CC-AC3C-71041F3C3040}"/>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45-2C9C-45CC-AC3C-71041F3C3040}"/>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47-2C9C-45CC-AC3C-71041F3C3040}"/>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49-2C9C-45CC-AC3C-71041F3C3040}"/>
              </c:ext>
            </c:extLst>
          </c:dPt>
          <c:cat>
            <c:strRef>
              <c:f>Sheet2!$A$4:$A$41</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Sheet2!$B$4:$B$41</c:f>
              <c:numCache>
                <c:formatCode>0.00%</c:formatCode>
                <c:ptCount val="37"/>
                <c:pt idx="0">
                  <c:v>2.4176249338997085E-4</c:v>
                </c:pt>
                <c:pt idx="1">
                  <c:v>0.10375326422561813</c:v>
                </c:pt>
                <c:pt idx="2">
                  <c:v>2.0442313207145375E-4</c:v>
                </c:pt>
                <c:pt idx="3">
                  <c:v>2.2717494033396299E-3</c:v>
                </c:pt>
                <c:pt idx="4">
                  <c:v>1.3810949746920863E-2</c:v>
                </c:pt>
                <c:pt idx="5">
                  <c:v>6.8604828062191381E-4</c:v>
                </c:pt>
                <c:pt idx="6">
                  <c:v>6.773937163500221E-3</c:v>
                </c:pt>
                <c:pt idx="7">
                  <c:v>2.4410329336300686E-4</c:v>
                </c:pt>
                <c:pt idx="8">
                  <c:v>4.0471704451834135E-4</c:v>
                </c:pt>
                <c:pt idx="9">
                  <c:v>1.6734981206134751E-2</c:v>
                </c:pt>
                <c:pt idx="10">
                  <c:v>3.9134062150302717E-3</c:v>
                </c:pt>
                <c:pt idx="11">
                  <c:v>2.6637735492063681E-2</c:v>
                </c:pt>
                <c:pt idx="12">
                  <c:v>2.2651524810112489E-3</c:v>
                </c:pt>
                <c:pt idx="13">
                  <c:v>6.8754640606913759E-3</c:v>
                </c:pt>
                <c:pt idx="14">
                  <c:v>6.3101595207551023E-3</c:v>
                </c:pt>
                <c:pt idx="15">
                  <c:v>1.2903013556286598E-2</c:v>
                </c:pt>
                <c:pt idx="16">
                  <c:v>0.1030578530817161</c:v>
                </c:pt>
                <c:pt idx="17">
                  <c:v>8.382895147152224E-3</c:v>
                </c:pt>
                <c:pt idx="18">
                  <c:v>9.6878958446880634E-5</c:v>
                </c:pt>
                <c:pt idx="19">
                  <c:v>3.9316283700116255E-6</c:v>
                </c:pt>
                <c:pt idx="20">
                  <c:v>3.7920874736955171E-2</c:v>
                </c:pt>
                <c:pt idx="21">
                  <c:v>6.5747196353032292E-2</c:v>
                </c:pt>
                <c:pt idx="22">
                  <c:v>7.8759133518993153E-5</c:v>
                </c:pt>
                <c:pt idx="23">
                  <c:v>4.3708767583944909E-4</c:v>
                </c:pt>
                <c:pt idx="24">
                  <c:v>6.6368445137132882E-5</c:v>
                </c:pt>
                <c:pt idx="25">
                  <c:v>4.814326064761752E-5</c:v>
                </c:pt>
                <c:pt idx="26">
                  <c:v>6.7508361539302588E-3</c:v>
                </c:pt>
                <c:pt idx="27">
                  <c:v>1.0334625148713716E-3</c:v>
                </c:pt>
                <c:pt idx="28">
                  <c:v>2.2060892235495295E-2</c:v>
                </c:pt>
                <c:pt idx="29">
                  <c:v>2.3357402568101614E-2</c:v>
                </c:pt>
                <c:pt idx="30">
                  <c:v>6.3671980905898712E-4</c:v>
                </c:pt>
                <c:pt idx="31">
                  <c:v>0.21664724732299237</c:v>
                </c:pt>
                <c:pt idx="32">
                  <c:v>4.153890424281962E-2</c:v>
                </c:pt>
                <c:pt idx="33">
                  <c:v>2.5289593588467412E-4</c:v>
                </c:pt>
                <c:pt idx="34">
                  <c:v>0.21126226963638872</c:v>
                </c:pt>
                <c:pt idx="35">
                  <c:v>1.5075100556402666E-2</c:v>
                </c:pt>
                <c:pt idx="36">
                  <c:v>4.1513413287921991E-2</c:v>
                </c:pt>
              </c:numCache>
            </c:numRef>
          </c:val>
          <c:extLst>
            <c:ext xmlns:c16="http://schemas.microsoft.com/office/drawing/2014/chart" uri="{C3380CC4-5D6E-409C-BE32-E72D297353CC}">
              <c16:uniqueId val="{0000004A-6634-4B79-A6B5-0D4CC78E3C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[Tourism_Excel.xlsx]Sheet2!PivotTable3</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Sheet2!$B$44</c:f>
              <c:strCache>
                <c:ptCount val="1"/>
                <c:pt idx="0">
                  <c:v>Sum of Total_Vistor_Domestic</c:v>
                </c:pt>
              </c:strCache>
            </c:strRef>
          </c:tx>
          <c:spPr>
            <a:solidFill>
              <a:schemeClr val="accent1"/>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Sheet2!$B$45:$B$82</c:f>
              <c:numCache>
                <c:formatCode>0.00%</c:formatCode>
                <c:ptCount val="37"/>
                <c:pt idx="0">
                  <c:v>2.3757086158298092E-4</c:v>
                </c:pt>
                <c:pt idx="1">
                  <c:v>0.10499973463600261</c:v>
                </c:pt>
                <c:pt idx="2">
                  <c:v>2.0411644528252009E-4</c:v>
                </c:pt>
                <c:pt idx="3">
                  <c:v>2.2899889851261861E-3</c:v>
                </c:pt>
                <c:pt idx="4">
                  <c:v>1.3514793652362222E-2</c:v>
                </c:pt>
                <c:pt idx="5">
                  <c:v>6.7585730765692075E-4</c:v>
                </c:pt>
                <c:pt idx="6">
                  <c:v>6.8599485351406014E-3</c:v>
                </c:pt>
                <c:pt idx="7">
                  <c:v>2.4667119946525319E-4</c:v>
                </c:pt>
                <c:pt idx="8">
                  <c:v>4.0762583759582853E-4</c:v>
                </c:pt>
                <c:pt idx="9">
                  <c:v>1.5705370551919121E-2</c:v>
                </c:pt>
                <c:pt idx="10">
                  <c:v>3.54205244513399E-3</c:v>
                </c:pt>
                <c:pt idx="11">
                  <c:v>2.6713460719556527E-2</c:v>
                </c:pt>
                <c:pt idx="12">
                  <c:v>2.2726112412800167E-3</c:v>
                </c:pt>
                <c:pt idx="13">
                  <c:v>6.8208011215283148E-3</c:v>
                </c:pt>
                <c:pt idx="14">
                  <c:v>6.3716190977800066E-3</c:v>
                </c:pt>
                <c:pt idx="15">
                  <c:v>1.3012580095097372E-2</c:v>
                </c:pt>
                <c:pt idx="16">
                  <c:v>0.10414984513226153</c:v>
                </c:pt>
                <c:pt idx="17">
                  <c:v>7.9712210647434889E-3</c:v>
                </c:pt>
                <c:pt idx="18">
                  <c:v>8.4587715644739264E-5</c:v>
                </c:pt>
                <c:pt idx="19">
                  <c:v>3.56285526368229E-6</c:v>
                </c:pt>
                <c:pt idx="20">
                  <c:v>3.827392952842127E-2</c:v>
                </c:pt>
                <c:pt idx="21">
                  <c:v>6.4296217812406048E-2</c:v>
                </c:pt>
                <c:pt idx="22">
                  <c:v>7.4083994072407413E-5</c:v>
                </c:pt>
                <c:pt idx="23">
                  <c:v>4.3324722434749495E-4</c:v>
                </c:pt>
                <c:pt idx="24">
                  <c:v>6.6384311552243239E-5</c:v>
                </c:pt>
                <c:pt idx="25">
                  <c:v>4.6698061218099802E-5</c:v>
                </c:pt>
                <c:pt idx="26">
                  <c:v>6.7969163155177864E-3</c:v>
                </c:pt>
                <c:pt idx="27">
                  <c:v>9.6452872864876197E-4</c:v>
                </c:pt>
                <c:pt idx="28">
                  <c:v>2.1853082936579313E-2</c:v>
                </c:pt>
                <c:pt idx="29">
                  <c:v>2.2964905906346419E-2</c:v>
                </c:pt>
                <c:pt idx="30">
                  <c:v>5.9280802793584104E-4</c:v>
                </c:pt>
                <c:pt idx="31">
                  <c:v>0.21673717814264723</c:v>
                </c:pt>
                <c:pt idx="32">
                  <c:v>4.1959260798010961E-2</c:v>
                </c:pt>
                <c:pt idx="33">
                  <c:v>1.9269361823152223E-4</c:v>
                </c:pt>
                <c:pt idx="34">
                  <c:v>0.21211980946094236</c:v>
                </c:pt>
                <c:pt idx="35">
                  <c:v>1.5207421712283481E-2</c:v>
                </c:pt>
                <c:pt idx="36">
                  <c:v>4.1336813920414849E-2</c:v>
                </c:pt>
              </c:numCache>
            </c:numRef>
          </c:val>
          <c:extLst>
            <c:ext xmlns:c16="http://schemas.microsoft.com/office/drawing/2014/chart" uri="{C3380CC4-5D6E-409C-BE32-E72D297353CC}">
              <c16:uniqueId val="{00000002-C377-4100-88A6-66C953469014}"/>
            </c:ext>
          </c:extLst>
        </c:ser>
        <c:ser>
          <c:idx val="1"/>
          <c:order val="1"/>
          <c:tx>
            <c:strRef>
              <c:f>Sheet2!$C$44</c:f>
              <c:strCache>
                <c:ptCount val="1"/>
                <c:pt idx="0">
                  <c:v>Sum of Total_visitor_Foreign</c:v>
                </c:pt>
              </c:strCache>
            </c:strRef>
          </c:tx>
          <c:spPr>
            <a:solidFill>
              <a:schemeClr val="accent2"/>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Sheet2!$C$45:$C$82</c:f>
              <c:numCache>
                <c:formatCode>0.00%</c:formatCode>
                <c:ptCount val="37"/>
                <c:pt idx="0">
                  <c:v>5.6033582825077007E-4</c:v>
                </c:pt>
                <c:pt idx="1">
                  <c:v>9.0187422718276764E-3</c:v>
                </c:pt>
                <c:pt idx="2">
                  <c:v>2.2773200976090603E-4</c:v>
                </c:pt>
                <c:pt idx="3">
                  <c:v>8.8550064300726517E-4</c:v>
                </c:pt>
                <c:pt idx="4">
                  <c:v>3.6319471255313734E-2</c:v>
                </c:pt>
                <c:pt idx="5">
                  <c:v>1.4605848793565962E-3</c:v>
                </c:pt>
                <c:pt idx="6">
                  <c:v>2.3688172515421352E-4</c:v>
                </c:pt>
                <c:pt idx="7">
                  <c:v>4.8936721423695712E-5</c:v>
                </c:pt>
                <c:pt idx="8">
                  <c:v>1.8364230470703608E-4</c:v>
                </c:pt>
                <c:pt idx="9">
                  <c:v>9.4987679636064234E-2</c:v>
                </c:pt>
                <c:pt idx="10">
                  <c:v>3.2137118205121329E-2</c:v>
                </c:pt>
                <c:pt idx="11">
                  <c:v>2.0882449873880375E-2</c:v>
                </c:pt>
                <c:pt idx="12">
                  <c:v>1.698270120593508E-3</c:v>
                </c:pt>
                <c:pt idx="13">
                  <c:v>1.1029968946695392E-2</c:v>
                </c:pt>
                <c:pt idx="14">
                  <c:v>1.6390950490838168E-3</c:v>
                </c:pt>
                <c:pt idx="15">
                  <c:v>4.5757130524837269E-3</c:v>
                </c:pt>
                <c:pt idx="16">
                  <c:v>2.0064029863841606E-2</c:v>
                </c:pt>
                <c:pt idx="17">
                  <c:v>3.9671040515743279E-2</c:v>
                </c:pt>
                <c:pt idx="18">
                  <c:v>1.0310407334702162E-3</c:v>
                </c:pt>
                <c:pt idx="19">
                  <c:v>3.1959204192487724E-5</c:v>
                </c:pt>
                <c:pt idx="20">
                  <c:v>1.1087925784144217E-2</c:v>
                </c:pt>
                <c:pt idx="21">
                  <c:v>0.17602479080393987</c:v>
                </c:pt>
                <c:pt idx="22">
                  <c:v>4.3408012377258061E-4</c:v>
                </c:pt>
                <c:pt idx="23">
                  <c:v>7.2897052612289103E-4</c:v>
                </c:pt>
                <c:pt idx="24">
                  <c:v>6.5162562319476177E-5</c:v>
                </c:pt>
                <c:pt idx="25">
                  <c:v>1.5798162980795835E-4</c:v>
                </c:pt>
                <c:pt idx="26">
                  <c:v>3.2486414422232407E-3</c:v>
                </c:pt>
                <c:pt idx="27">
                  <c:v>6.272583499900921E-3</c:v>
                </c:pt>
                <c:pt idx="28">
                  <c:v>3.7854860889982189E-2</c:v>
                </c:pt>
                <c:pt idx="29">
                  <c:v>5.3188021337758372E-2</c:v>
                </c:pt>
                <c:pt idx="30">
                  <c:v>3.9741127854053485E-3</c:v>
                </c:pt>
                <c:pt idx="31">
                  <c:v>0.20981230512305007</c:v>
                </c:pt>
                <c:pt idx="32">
                  <c:v>9.5908716425825678E-3</c:v>
                </c:pt>
                <c:pt idx="33">
                  <c:v>4.8284059005555538E-3</c:v>
                </c:pt>
                <c:pt idx="34">
                  <c:v>0.14608733675501584</c:v>
                </c:pt>
                <c:pt idx="35">
                  <c:v>5.0183985743032702E-3</c:v>
                </c:pt>
                <c:pt idx="36">
                  <c:v>5.4935357779143754E-2</c:v>
                </c:pt>
              </c:numCache>
            </c:numRef>
          </c:val>
          <c:extLst>
            <c:ext xmlns:c16="http://schemas.microsoft.com/office/drawing/2014/chart" uri="{C3380CC4-5D6E-409C-BE32-E72D297353CC}">
              <c16:uniqueId val="{00000003-C377-4100-88A6-66C953469014}"/>
            </c:ext>
          </c:extLst>
        </c:ser>
        <c:dLbls>
          <c:showLegendKey val="0"/>
          <c:showVal val="0"/>
          <c:showCatName val="0"/>
          <c:showSerName val="0"/>
          <c:showPercent val="0"/>
          <c:showBubbleSize val="0"/>
        </c:dLbls>
        <c:gapWidth val="150"/>
        <c:overlap val="100"/>
        <c:axId val="1245703744"/>
        <c:axId val="1245706144"/>
      </c:barChart>
      <c:catAx>
        <c:axId val="12457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6144"/>
        <c:crosses val="autoZero"/>
        <c:auto val="1"/>
        <c:lblAlgn val="ctr"/>
        <c:lblOffset val="100"/>
        <c:noMultiLvlLbl val="0"/>
      </c:catAx>
      <c:valAx>
        <c:axId val="124570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[Tourism_Excel.xlsx]Sheet2!PivotTable5</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Sheet2!$B$92</c:f>
              <c:strCache>
                <c:ptCount val="1"/>
                <c:pt idx="0">
                  <c:v>Sum of Growth rate - DTV  2020/19</c:v>
                </c:pt>
              </c:strCache>
            </c:strRef>
          </c:tx>
          <c:spPr>
            <a:ln w="28575" cap="rnd">
              <a:solidFill>
                <a:schemeClr val="accent1"/>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Sheet2!$B$93:$B$130</c:f>
              <c:numCache>
                <c:formatCode>General</c:formatCode>
                <c:ptCount val="37"/>
                <c:pt idx="0">
                  <c:v>-62.17</c:v>
                </c:pt>
                <c:pt idx="1">
                  <c:v>-70.12</c:v>
                </c:pt>
                <c:pt idx="2">
                  <c:v>-92.28</c:v>
                </c:pt>
                <c:pt idx="3">
                  <c:v>-76.739999999999995</c:v>
                </c:pt>
                <c:pt idx="4">
                  <c:v>-83.41</c:v>
                </c:pt>
                <c:pt idx="5">
                  <c:v>-73.27</c:v>
                </c:pt>
                <c:pt idx="6">
                  <c:v>-83.76</c:v>
                </c:pt>
                <c:pt idx="7">
                  <c:v>-83.03</c:v>
                </c:pt>
                <c:pt idx="8">
                  <c:v>-66.87</c:v>
                </c:pt>
                <c:pt idx="9">
                  <c:v>-73.7</c:v>
                </c:pt>
                <c:pt idx="10">
                  <c:v>-54.28</c:v>
                </c:pt>
                <c:pt idx="11">
                  <c:v>-66.930000000000007</c:v>
                </c:pt>
                <c:pt idx="12">
                  <c:v>-53.51</c:v>
                </c:pt>
                <c:pt idx="13">
                  <c:v>-81.16</c:v>
                </c:pt>
                <c:pt idx="14">
                  <c:v>-84.41</c:v>
                </c:pt>
                <c:pt idx="15">
                  <c:v>-92.76</c:v>
                </c:pt>
                <c:pt idx="16">
                  <c:v>-66.02</c:v>
                </c:pt>
                <c:pt idx="17">
                  <c:v>-72.86</c:v>
                </c:pt>
                <c:pt idx="18">
                  <c:v>-97.21</c:v>
                </c:pt>
                <c:pt idx="19">
                  <c:v>-50.44</c:v>
                </c:pt>
                <c:pt idx="20">
                  <c:v>-73.489999999999995</c:v>
                </c:pt>
                <c:pt idx="21">
                  <c:v>-73.72</c:v>
                </c:pt>
                <c:pt idx="22">
                  <c:v>-70.36</c:v>
                </c:pt>
                <c:pt idx="23">
                  <c:v>-98.01</c:v>
                </c:pt>
                <c:pt idx="24">
                  <c:v>-81.14</c:v>
                </c:pt>
                <c:pt idx="25">
                  <c:v>-91.28</c:v>
                </c:pt>
                <c:pt idx="26">
                  <c:v>-69.8</c:v>
                </c:pt>
                <c:pt idx="27">
                  <c:v>-34.92</c:v>
                </c:pt>
                <c:pt idx="28">
                  <c:v>-64.77</c:v>
                </c:pt>
                <c:pt idx="29">
                  <c:v>-71.05</c:v>
                </c:pt>
                <c:pt idx="30">
                  <c:v>-77.75</c:v>
                </c:pt>
                <c:pt idx="31">
                  <c:v>-71.58</c:v>
                </c:pt>
                <c:pt idx="32">
                  <c:v>-51.83</c:v>
                </c:pt>
                <c:pt idx="33">
                  <c:v>-70.77</c:v>
                </c:pt>
                <c:pt idx="34">
                  <c:v>-83.93</c:v>
                </c:pt>
                <c:pt idx="35">
                  <c:v>-81.36</c:v>
                </c:pt>
                <c:pt idx="36">
                  <c:v>-68.77</c:v>
                </c:pt>
              </c:numCache>
            </c:numRef>
          </c:val>
          <c:smooth val="0"/>
          <c:extLst>
            <c:ext xmlns:c16="http://schemas.microsoft.com/office/drawing/2014/chart" uri="{C3380CC4-5D6E-409C-BE32-E72D297353CC}">
              <c16:uniqueId val="{00000000-EA0A-4AE5-BB56-A9FADC8DCB5E}"/>
            </c:ext>
          </c:extLst>
        </c:ser>
        <c:ser>
          <c:idx val="1"/>
          <c:order val="1"/>
          <c:tx>
            <c:strRef>
              <c:f>Sheet2!$C$92</c:f>
              <c:strCache>
                <c:ptCount val="1"/>
                <c:pt idx="0">
                  <c:v>Sum of Growth rate - FTV 2020/19</c:v>
                </c:pt>
              </c:strCache>
            </c:strRef>
          </c:tx>
          <c:spPr>
            <a:ln w="28575" cap="rnd">
              <a:solidFill>
                <a:schemeClr val="accent2"/>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Sheet2!$C$93:$C$130</c:f>
              <c:numCache>
                <c:formatCode>General</c:formatCode>
                <c:ptCount val="37"/>
                <c:pt idx="0">
                  <c:v>-66.599999999999994</c:v>
                </c:pt>
                <c:pt idx="1">
                  <c:v>-75.89</c:v>
                </c:pt>
                <c:pt idx="2">
                  <c:v>-87.72</c:v>
                </c:pt>
                <c:pt idx="3">
                  <c:v>-72.900000000000006</c:v>
                </c:pt>
                <c:pt idx="4">
                  <c:v>-71.819999999999993</c:v>
                </c:pt>
                <c:pt idx="5">
                  <c:v>-72.31</c:v>
                </c:pt>
                <c:pt idx="6">
                  <c:v>-65.94</c:v>
                </c:pt>
                <c:pt idx="7">
                  <c:v>-86.67</c:v>
                </c:pt>
                <c:pt idx="8">
                  <c:v>-75.77</c:v>
                </c:pt>
                <c:pt idx="9">
                  <c:v>-77.2</c:v>
                </c:pt>
                <c:pt idx="10">
                  <c:v>-67.69</c:v>
                </c:pt>
                <c:pt idx="11">
                  <c:v>-64.73</c:v>
                </c:pt>
                <c:pt idx="12">
                  <c:v>-63.63</c:v>
                </c:pt>
                <c:pt idx="13">
                  <c:v>-88.86</c:v>
                </c:pt>
                <c:pt idx="14">
                  <c:v>-90.82</c:v>
                </c:pt>
                <c:pt idx="15">
                  <c:v>-99.72</c:v>
                </c:pt>
                <c:pt idx="16">
                  <c:v>-72.84</c:v>
                </c:pt>
                <c:pt idx="17">
                  <c:v>-71.36</c:v>
                </c:pt>
                <c:pt idx="18">
                  <c:v>-97.09</c:v>
                </c:pt>
                <c:pt idx="19">
                  <c:v>-49.63</c:v>
                </c:pt>
                <c:pt idx="20">
                  <c:v>-69.56</c:v>
                </c:pt>
                <c:pt idx="21">
                  <c:v>-77.2</c:v>
                </c:pt>
                <c:pt idx="22">
                  <c:v>-76.930000000000007</c:v>
                </c:pt>
                <c:pt idx="23">
                  <c:v>-91.05</c:v>
                </c:pt>
                <c:pt idx="24">
                  <c:v>-88.22</c:v>
                </c:pt>
                <c:pt idx="25">
                  <c:v>-90.71</c:v>
                </c:pt>
                <c:pt idx="26">
                  <c:v>-91.14</c:v>
                </c:pt>
                <c:pt idx="27">
                  <c:v>-38.58</c:v>
                </c:pt>
                <c:pt idx="28">
                  <c:v>-67.39</c:v>
                </c:pt>
                <c:pt idx="29">
                  <c:v>-72.19</c:v>
                </c:pt>
                <c:pt idx="30">
                  <c:v>-85.05</c:v>
                </c:pt>
                <c:pt idx="31">
                  <c:v>-82.11</c:v>
                </c:pt>
                <c:pt idx="32">
                  <c:v>-85.56</c:v>
                </c:pt>
                <c:pt idx="33">
                  <c:v>-79.349999999999994</c:v>
                </c:pt>
                <c:pt idx="34">
                  <c:v>-81.22</c:v>
                </c:pt>
                <c:pt idx="35">
                  <c:v>-72.849999999999994</c:v>
                </c:pt>
                <c:pt idx="36">
                  <c:v>-72.03</c:v>
                </c:pt>
              </c:numCache>
            </c:numRef>
          </c:val>
          <c:smooth val="0"/>
          <c:extLst>
            <c:ext xmlns:c16="http://schemas.microsoft.com/office/drawing/2014/chart" uri="{C3380CC4-5D6E-409C-BE32-E72D297353CC}">
              <c16:uniqueId val="{00000001-EA0A-4AE5-BB56-A9FADC8DCB5E}"/>
            </c:ext>
          </c:extLst>
        </c:ser>
        <c:dLbls>
          <c:showLegendKey val="0"/>
          <c:showVal val="0"/>
          <c:showCatName val="0"/>
          <c:showSerName val="0"/>
          <c:showPercent val="0"/>
          <c:showBubbleSize val="0"/>
        </c:dLbls>
        <c:smooth val="0"/>
        <c:axId val="2111452480"/>
        <c:axId val="2111452960"/>
      </c:lineChart>
      <c:catAx>
        <c:axId val="21114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960"/>
        <c:crosses val="autoZero"/>
        <c:auto val="1"/>
        <c:lblAlgn val="ctr"/>
        <c:lblOffset val="100"/>
        <c:noMultiLvlLbl val="0"/>
      </c:catAx>
      <c:valAx>
        <c:axId val="211145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 BY VISTOR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Sheet2!$B$175</c:f>
              <c:strCache>
                <c:ptCount val="1"/>
                <c:pt idx="0">
                  <c:v>Total</c:v>
                </c:pt>
              </c:strCache>
            </c:strRef>
          </c:tx>
          <c:spPr>
            <a:solidFill>
              <a:schemeClr val="accent1"/>
            </a:solidFill>
            <a:ln>
              <a:noFill/>
            </a:ln>
            <a:effectLst/>
          </c:spPr>
          <c:invertIfNegative val="0"/>
          <c:cat>
            <c:strRef>
              <c:f>Sheet2!$A$176:$A$213</c:f>
              <c:strCache>
                <c:ptCount val="37"/>
                <c:pt idx="0">
                  <c:v>Tamil Nadu</c:v>
                </c:pt>
                <c:pt idx="1">
                  <c:v>Uttar Pradesh</c:v>
                </c:pt>
                <c:pt idx="2">
                  <c:v>Andhra Pradesh</c:v>
                </c:pt>
                <c:pt idx="3">
                  <c:v>Karnataka</c:v>
                </c:pt>
                <c:pt idx="4">
                  <c:v>Maharashtra #</c:v>
                </c:pt>
                <c:pt idx="5">
                  <c:v>Telengana</c:v>
                </c:pt>
                <c:pt idx="6">
                  <c:v>West Bengal</c:v>
                </c:pt>
                <c:pt idx="7">
                  <c:v>Madhya Pradesh</c:v>
                </c:pt>
                <c:pt idx="8">
                  <c:v>Gujarat</c:v>
                </c:pt>
                <c:pt idx="9">
                  <c:v>Rajasthan</c:v>
                </c:pt>
                <c:pt idx="10">
                  <c:v>Punjab</c:v>
                </c:pt>
                <c:pt idx="11">
                  <c:v>Delhi #</c:v>
                </c:pt>
                <c:pt idx="12">
                  <c:v>Uttarakhand</c:v>
                </c:pt>
                <c:pt idx="13">
                  <c:v>Bihar</c:v>
                </c:pt>
                <c:pt idx="14">
                  <c:v>Jharkhand</c:v>
                </c:pt>
                <c:pt idx="15">
                  <c:v>Kerala</c:v>
                </c:pt>
                <c:pt idx="16">
                  <c:v>Himachal Pradesh</c:v>
                </c:pt>
                <c:pt idx="17">
                  <c:v>Chhattisgarh</c:v>
                </c:pt>
                <c:pt idx="18">
                  <c:v>Odisha</c:v>
                </c:pt>
                <c:pt idx="19">
                  <c:v>J&amp;K</c:v>
                </c:pt>
                <c:pt idx="20">
                  <c:v>Goa</c:v>
                </c:pt>
                <c:pt idx="21">
                  <c:v>Assam</c:v>
                </c:pt>
                <c:pt idx="22">
                  <c:v>Haryana</c:v>
                </c:pt>
                <c:pt idx="23">
                  <c:v>Puducherry</c:v>
                </c:pt>
                <c:pt idx="24">
                  <c:v>Chandigarh</c:v>
                </c:pt>
                <c:pt idx="25">
                  <c:v>Sikkim</c:v>
                </c:pt>
                <c:pt idx="26">
                  <c:v>Meghalaya</c:v>
                </c:pt>
                <c:pt idx="27">
                  <c:v>Daman &amp; Diu</c:v>
                </c:pt>
                <c:pt idx="28">
                  <c:v>Tripura</c:v>
                </c:pt>
                <c:pt idx="29">
                  <c:v>Dadra &amp; Nagar Haveli</c:v>
                </c:pt>
                <c:pt idx="30">
                  <c:v>A&amp;N Island</c:v>
                </c:pt>
                <c:pt idx="31">
                  <c:v>Arunachal Pradesh</c:v>
                </c:pt>
                <c:pt idx="32">
                  <c:v>Ladakh</c:v>
                </c:pt>
                <c:pt idx="33">
                  <c:v>Manipur</c:v>
                </c:pt>
                <c:pt idx="34">
                  <c:v>Mizoram</c:v>
                </c:pt>
                <c:pt idx="35">
                  <c:v>Nagaland</c:v>
                </c:pt>
                <c:pt idx="36">
                  <c:v>Lakshdweep</c:v>
                </c:pt>
              </c:strCache>
            </c:strRef>
          </c:cat>
          <c:val>
            <c:numRef>
              <c:f>Sheet2!$B$176:$B$213</c:f>
              <c:numCache>
                <c:formatCode>0.0,,"M"</c:formatCode>
                <c:ptCount val="37"/>
                <c:pt idx="0">
                  <c:v>643611148</c:v>
                </c:pt>
                <c:pt idx="1">
                  <c:v>627613568</c:v>
                </c:pt>
                <c:pt idx="2">
                  <c:v>308228045</c:v>
                </c:pt>
                <c:pt idx="3">
                  <c:v>306162132</c:v>
                </c:pt>
                <c:pt idx="4">
                  <c:v>195320407</c:v>
                </c:pt>
                <c:pt idx="5">
                  <c:v>123402915</c:v>
                </c:pt>
                <c:pt idx="6">
                  <c:v>123327187</c:v>
                </c:pt>
                <c:pt idx="7">
                  <c:v>112654548</c:v>
                </c:pt>
                <c:pt idx="8">
                  <c:v>79134832</c:v>
                </c:pt>
                <c:pt idx="9">
                  <c:v>69389687</c:v>
                </c:pt>
                <c:pt idx="10">
                  <c:v>65538041</c:v>
                </c:pt>
                <c:pt idx="11">
                  <c:v>49715935</c:v>
                </c:pt>
                <c:pt idx="12">
                  <c:v>44784796</c:v>
                </c:pt>
                <c:pt idx="13">
                  <c:v>41029283</c:v>
                </c:pt>
                <c:pt idx="14">
                  <c:v>38332005</c:v>
                </c:pt>
                <c:pt idx="15">
                  <c:v>24903731</c:v>
                </c:pt>
                <c:pt idx="16">
                  <c:v>20425486</c:v>
                </c:pt>
                <c:pt idx="17">
                  <c:v>20123872</c:v>
                </c:pt>
                <c:pt idx="18">
                  <c:v>20055244</c:v>
                </c:pt>
                <c:pt idx="19">
                  <c:v>18746091</c:v>
                </c:pt>
                <c:pt idx="20">
                  <c:v>11625866</c:v>
                </c:pt>
                <c:pt idx="21">
                  <c:v>6748866</c:v>
                </c:pt>
                <c:pt idx="22">
                  <c:v>6729268</c:v>
                </c:pt>
                <c:pt idx="23">
                  <c:v>3070189</c:v>
                </c:pt>
                <c:pt idx="24">
                  <c:v>2038098</c:v>
                </c:pt>
                <c:pt idx="25">
                  <c:v>1891554</c:v>
                </c:pt>
                <c:pt idx="26">
                  <c:v>1298491</c:v>
                </c:pt>
                <c:pt idx="27">
                  <c:v>1202325</c:v>
                </c:pt>
                <c:pt idx="28">
                  <c:v>751298</c:v>
                </c:pt>
                <c:pt idx="29">
                  <c:v>725177</c:v>
                </c:pt>
                <c:pt idx="30">
                  <c:v>718223</c:v>
                </c:pt>
                <c:pt idx="31">
                  <c:v>607296</c:v>
                </c:pt>
                <c:pt idx="32">
                  <c:v>287806</c:v>
                </c:pt>
                <c:pt idx="33">
                  <c:v>233976</c:v>
                </c:pt>
                <c:pt idx="34">
                  <c:v>197166</c:v>
                </c:pt>
                <c:pt idx="35">
                  <c:v>143023</c:v>
                </c:pt>
                <c:pt idx="36">
                  <c:v>11680</c:v>
                </c:pt>
              </c:numCache>
            </c:numRef>
          </c:val>
          <c:extLst>
            <c:ext xmlns:c16="http://schemas.microsoft.com/office/drawing/2014/chart" uri="{C3380CC4-5D6E-409C-BE32-E72D297353CC}">
              <c16:uniqueId val="{00000000-4A66-4814-A25F-87363853EDFC}"/>
            </c:ext>
          </c:extLst>
        </c:ser>
        <c:dLbls>
          <c:showLegendKey val="0"/>
          <c:showVal val="0"/>
          <c:showCatName val="0"/>
          <c:showSerName val="0"/>
          <c:showPercent val="0"/>
          <c:showBubbleSize val="0"/>
        </c:dLbls>
        <c:gapWidth val="219"/>
        <c:overlap val="-27"/>
        <c:axId val="1078136160"/>
        <c:axId val="1078138080"/>
      </c:barChart>
      <c:catAx>
        <c:axId val="107813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8080"/>
        <c:crosses val="autoZero"/>
        <c:auto val="1"/>
        <c:lblAlgn val="ctr"/>
        <c:lblOffset val="100"/>
        <c:noMultiLvlLbl val="0"/>
      </c:catAx>
      <c:valAx>
        <c:axId val="107813808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[Tourism_Excel.xlsx]Sheet2!PivotTable2</c:name>
    <c:fmtId val="9"/>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Sheet2!$B$3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013-4F99-81E3-2147B90B1FC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4013-4F99-81E3-2147B90B1FC3}"/>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4013-4F99-81E3-2147B90B1FC3}"/>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4013-4F99-81E3-2147B90B1FC3}"/>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4013-4F99-81E3-2147B90B1FC3}"/>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4013-4F99-81E3-2147B90B1FC3}"/>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4013-4F99-81E3-2147B90B1FC3}"/>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4013-4F99-81E3-2147B90B1FC3}"/>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4013-4F99-81E3-2147B90B1FC3}"/>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4013-4F99-81E3-2147B90B1FC3}"/>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4013-4F99-81E3-2147B90B1FC3}"/>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4013-4F99-81E3-2147B90B1FC3}"/>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4013-4F99-81E3-2147B90B1FC3}"/>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4013-4F99-81E3-2147B90B1FC3}"/>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4013-4F99-81E3-2147B90B1FC3}"/>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4013-4F99-81E3-2147B90B1FC3}"/>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4013-4F99-81E3-2147B90B1FC3}"/>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4013-4F99-81E3-2147B90B1FC3}"/>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4013-4F99-81E3-2147B90B1FC3}"/>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4013-4F99-81E3-2147B90B1FC3}"/>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4013-4F99-81E3-2147B90B1FC3}"/>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4013-4F99-81E3-2147B90B1FC3}"/>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4013-4F99-81E3-2147B90B1FC3}"/>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4013-4F99-81E3-2147B90B1FC3}"/>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4013-4F99-81E3-2147B90B1FC3}"/>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4013-4F99-81E3-2147B90B1FC3}"/>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4013-4F99-81E3-2147B90B1FC3}"/>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4013-4F99-81E3-2147B90B1FC3}"/>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4013-4F99-81E3-2147B90B1FC3}"/>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4013-4F99-81E3-2147B90B1FC3}"/>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4013-4F99-81E3-2147B90B1FC3}"/>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4013-4F99-81E3-2147B90B1FC3}"/>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4013-4F99-81E3-2147B90B1FC3}"/>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4013-4F99-81E3-2147B90B1FC3}"/>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45-4013-4F99-81E3-2147B90B1FC3}"/>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47-4013-4F99-81E3-2147B90B1FC3}"/>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49-4013-4F99-81E3-2147B90B1FC3}"/>
              </c:ext>
            </c:extLst>
          </c:dPt>
          <c:cat>
            <c:strRef>
              <c:f>Sheet2!$A$4:$A$41</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Sheet2!$B$4:$B$41</c:f>
              <c:numCache>
                <c:formatCode>0.00%</c:formatCode>
                <c:ptCount val="37"/>
                <c:pt idx="0">
                  <c:v>2.4176249338997085E-4</c:v>
                </c:pt>
                <c:pt idx="1">
                  <c:v>0.10375326422561813</c:v>
                </c:pt>
                <c:pt idx="2">
                  <c:v>2.0442313207145375E-4</c:v>
                </c:pt>
                <c:pt idx="3">
                  <c:v>2.2717494033396299E-3</c:v>
                </c:pt>
                <c:pt idx="4">
                  <c:v>1.3810949746920863E-2</c:v>
                </c:pt>
                <c:pt idx="5">
                  <c:v>6.8604828062191381E-4</c:v>
                </c:pt>
                <c:pt idx="6">
                  <c:v>6.773937163500221E-3</c:v>
                </c:pt>
                <c:pt idx="7">
                  <c:v>2.4410329336300686E-4</c:v>
                </c:pt>
                <c:pt idx="8">
                  <c:v>4.0471704451834135E-4</c:v>
                </c:pt>
                <c:pt idx="9">
                  <c:v>1.6734981206134751E-2</c:v>
                </c:pt>
                <c:pt idx="10">
                  <c:v>3.9134062150302717E-3</c:v>
                </c:pt>
                <c:pt idx="11">
                  <c:v>2.6637735492063681E-2</c:v>
                </c:pt>
                <c:pt idx="12">
                  <c:v>2.2651524810112489E-3</c:v>
                </c:pt>
                <c:pt idx="13">
                  <c:v>6.8754640606913759E-3</c:v>
                </c:pt>
                <c:pt idx="14">
                  <c:v>6.3101595207551023E-3</c:v>
                </c:pt>
                <c:pt idx="15">
                  <c:v>1.2903013556286598E-2</c:v>
                </c:pt>
                <c:pt idx="16">
                  <c:v>0.1030578530817161</c:v>
                </c:pt>
                <c:pt idx="17">
                  <c:v>8.382895147152224E-3</c:v>
                </c:pt>
                <c:pt idx="18">
                  <c:v>9.6878958446880634E-5</c:v>
                </c:pt>
                <c:pt idx="19">
                  <c:v>3.9316283700116255E-6</c:v>
                </c:pt>
                <c:pt idx="20">
                  <c:v>3.7920874736955171E-2</c:v>
                </c:pt>
                <c:pt idx="21">
                  <c:v>6.5747196353032292E-2</c:v>
                </c:pt>
                <c:pt idx="22">
                  <c:v>7.8759133518993153E-5</c:v>
                </c:pt>
                <c:pt idx="23">
                  <c:v>4.3708767583944909E-4</c:v>
                </c:pt>
                <c:pt idx="24">
                  <c:v>6.6368445137132882E-5</c:v>
                </c:pt>
                <c:pt idx="25">
                  <c:v>4.814326064761752E-5</c:v>
                </c:pt>
                <c:pt idx="26">
                  <c:v>6.7508361539302588E-3</c:v>
                </c:pt>
                <c:pt idx="27">
                  <c:v>1.0334625148713716E-3</c:v>
                </c:pt>
                <c:pt idx="28">
                  <c:v>2.2060892235495295E-2</c:v>
                </c:pt>
                <c:pt idx="29">
                  <c:v>2.3357402568101614E-2</c:v>
                </c:pt>
                <c:pt idx="30">
                  <c:v>6.3671980905898712E-4</c:v>
                </c:pt>
                <c:pt idx="31">
                  <c:v>0.21664724732299237</c:v>
                </c:pt>
                <c:pt idx="32">
                  <c:v>4.153890424281962E-2</c:v>
                </c:pt>
                <c:pt idx="33">
                  <c:v>2.5289593588467412E-4</c:v>
                </c:pt>
                <c:pt idx="34">
                  <c:v>0.21126226963638872</c:v>
                </c:pt>
                <c:pt idx="35">
                  <c:v>1.5075100556402666E-2</c:v>
                </c:pt>
                <c:pt idx="36">
                  <c:v>4.1513413287921991E-2</c:v>
                </c:pt>
              </c:numCache>
            </c:numRef>
          </c:val>
          <c:extLst>
            <c:ext xmlns:c16="http://schemas.microsoft.com/office/drawing/2014/chart" uri="{C3380CC4-5D6E-409C-BE32-E72D297353CC}">
              <c16:uniqueId val="{0000004A-0723-4898-B769-909B76CF5B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[Tourism_Excel.xlsx]Sheet2!PivotTable3</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Sheet2!$B$44</c:f>
              <c:strCache>
                <c:ptCount val="1"/>
                <c:pt idx="0">
                  <c:v>Sum of Total_Vistor_Domestic</c:v>
                </c:pt>
              </c:strCache>
            </c:strRef>
          </c:tx>
          <c:spPr>
            <a:solidFill>
              <a:schemeClr val="accent1"/>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Sheet2!$B$45:$B$82</c:f>
              <c:numCache>
                <c:formatCode>0.00%</c:formatCode>
                <c:ptCount val="37"/>
                <c:pt idx="0">
                  <c:v>2.3757086158298092E-4</c:v>
                </c:pt>
                <c:pt idx="1">
                  <c:v>0.10499973463600261</c:v>
                </c:pt>
                <c:pt idx="2">
                  <c:v>2.0411644528252009E-4</c:v>
                </c:pt>
                <c:pt idx="3">
                  <c:v>2.2899889851261861E-3</c:v>
                </c:pt>
                <c:pt idx="4">
                  <c:v>1.3514793652362222E-2</c:v>
                </c:pt>
                <c:pt idx="5">
                  <c:v>6.7585730765692075E-4</c:v>
                </c:pt>
                <c:pt idx="6">
                  <c:v>6.8599485351406014E-3</c:v>
                </c:pt>
                <c:pt idx="7">
                  <c:v>2.4667119946525319E-4</c:v>
                </c:pt>
                <c:pt idx="8">
                  <c:v>4.0762583759582853E-4</c:v>
                </c:pt>
                <c:pt idx="9">
                  <c:v>1.5705370551919121E-2</c:v>
                </c:pt>
                <c:pt idx="10">
                  <c:v>3.54205244513399E-3</c:v>
                </c:pt>
                <c:pt idx="11">
                  <c:v>2.6713460719556527E-2</c:v>
                </c:pt>
                <c:pt idx="12">
                  <c:v>2.2726112412800167E-3</c:v>
                </c:pt>
                <c:pt idx="13">
                  <c:v>6.8208011215283148E-3</c:v>
                </c:pt>
                <c:pt idx="14">
                  <c:v>6.3716190977800066E-3</c:v>
                </c:pt>
                <c:pt idx="15">
                  <c:v>1.3012580095097372E-2</c:v>
                </c:pt>
                <c:pt idx="16">
                  <c:v>0.10414984513226153</c:v>
                </c:pt>
                <c:pt idx="17">
                  <c:v>7.9712210647434889E-3</c:v>
                </c:pt>
                <c:pt idx="18">
                  <c:v>8.4587715644739264E-5</c:v>
                </c:pt>
                <c:pt idx="19">
                  <c:v>3.56285526368229E-6</c:v>
                </c:pt>
                <c:pt idx="20">
                  <c:v>3.827392952842127E-2</c:v>
                </c:pt>
                <c:pt idx="21">
                  <c:v>6.4296217812406048E-2</c:v>
                </c:pt>
                <c:pt idx="22">
                  <c:v>7.4083994072407413E-5</c:v>
                </c:pt>
                <c:pt idx="23">
                  <c:v>4.3324722434749495E-4</c:v>
                </c:pt>
                <c:pt idx="24">
                  <c:v>6.6384311552243239E-5</c:v>
                </c:pt>
                <c:pt idx="25">
                  <c:v>4.6698061218099802E-5</c:v>
                </c:pt>
                <c:pt idx="26">
                  <c:v>6.7969163155177864E-3</c:v>
                </c:pt>
                <c:pt idx="27">
                  <c:v>9.6452872864876197E-4</c:v>
                </c:pt>
                <c:pt idx="28">
                  <c:v>2.1853082936579313E-2</c:v>
                </c:pt>
                <c:pt idx="29">
                  <c:v>2.2964905906346419E-2</c:v>
                </c:pt>
                <c:pt idx="30">
                  <c:v>5.9280802793584104E-4</c:v>
                </c:pt>
                <c:pt idx="31">
                  <c:v>0.21673717814264723</c:v>
                </c:pt>
                <c:pt idx="32">
                  <c:v>4.1959260798010961E-2</c:v>
                </c:pt>
                <c:pt idx="33">
                  <c:v>1.9269361823152223E-4</c:v>
                </c:pt>
                <c:pt idx="34">
                  <c:v>0.21211980946094236</c:v>
                </c:pt>
                <c:pt idx="35">
                  <c:v>1.5207421712283481E-2</c:v>
                </c:pt>
                <c:pt idx="36">
                  <c:v>4.1336813920414849E-2</c:v>
                </c:pt>
              </c:numCache>
            </c:numRef>
          </c:val>
          <c:extLst>
            <c:ext xmlns:c16="http://schemas.microsoft.com/office/drawing/2014/chart" uri="{C3380CC4-5D6E-409C-BE32-E72D297353CC}">
              <c16:uniqueId val="{00000000-F952-4764-879A-42613B5748D3}"/>
            </c:ext>
          </c:extLst>
        </c:ser>
        <c:ser>
          <c:idx val="1"/>
          <c:order val="1"/>
          <c:tx>
            <c:strRef>
              <c:f>Sheet2!$C$44</c:f>
              <c:strCache>
                <c:ptCount val="1"/>
                <c:pt idx="0">
                  <c:v>Sum of Total_visitor_Foreign</c:v>
                </c:pt>
              </c:strCache>
            </c:strRef>
          </c:tx>
          <c:spPr>
            <a:solidFill>
              <a:schemeClr val="accent2"/>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Sheet2!$C$45:$C$82</c:f>
              <c:numCache>
                <c:formatCode>0.00%</c:formatCode>
                <c:ptCount val="37"/>
                <c:pt idx="0">
                  <c:v>5.6033582825077007E-4</c:v>
                </c:pt>
                <c:pt idx="1">
                  <c:v>9.0187422718276764E-3</c:v>
                </c:pt>
                <c:pt idx="2">
                  <c:v>2.2773200976090603E-4</c:v>
                </c:pt>
                <c:pt idx="3">
                  <c:v>8.8550064300726517E-4</c:v>
                </c:pt>
                <c:pt idx="4">
                  <c:v>3.6319471255313734E-2</c:v>
                </c:pt>
                <c:pt idx="5">
                  <c:v>1.4605848793565962E-3</c:v>
                </c:pt>
                <c:pt idx="6">
                  <c:v>2.3688172515421352E-4</c:v>
                </c:pt>
                <c:pt idx="7">
                  <c:v>4.8936721423695712E-5</c:v>
                </c:pt>
                <c:pt idx="8">
                  <c:v>1.8364230470703608E-4</c:v>
                </c:pt>
                <c:pt idx="9">
                  <c:v>9.4987679636064234E-2</c:v>
                </c:pt>
                <c:pt idx="10">
                  <c:v>3.2137118205121329E-2</c:v>
                </c:pt>
                <c:pt idx="11">
                  <c:v>2.0882449873880375E-2</c:v>
                </c:pt>
                <c:pt idx="12">
                  <c:v>1.698270120593508E-3</c:v>
                </c:pt>
                <c:pt idx="13">
                  <c:v>1.1029968946695392E-2</c:v>
                </c:pt>
                <c:pt idx="14">
                  <c:v>1.6390950490838168E-3</c:v>
                </c:pt>
                <c:pt idx="15">
                  <c:v>4.5757130524837269E-3</c:v>
                </c:pt>
                <c:pt idx="16">
                  <c:v>2.0064029863841606E-2</c:v>
                </c:pt>
                <c:pt idx="17">
                  <c:v>3.9671040515743279E-2</c:v>
                </c:pt>
                <c:pt idx="18">
                  <c:v>1.0310407334702162E-3</c:v>
                </c:pt>
                <c:pt idx="19">
                  <c:v>3.1959204192487724E-5</c:v>
                </c:pt>
                <c:pt idx="20">
                  <c:v>1.1087925784144217E-2</c:v>
                </c:pt>
                <c:pt idx="21">
                  <c:v>0.17602479080393987</c:v>
                </c:pt>
                <c:pt idx="22">
                  <c:v>4.3408012377258061E-4</c:v>
                </c:pt>
                <c:pt idx="23">
                  <c:v>7.2897052612289103E-4</c:v>
                </c:pt>
                <c:pt idx="24">
                  <c:v>6.5162562319476177E-5</c:v>
                </c:pt>
                <c:pt idx="25">
                  <c:v>1.5798162980795835E-4</c:v>
                </c:pt>
                <c:pt idx="26">
                  <c:v>3.2486414422232407E-3</c:v>
                </c:pt>
                <c:pt idx="27">
                  <c:v>6.272583499900921E-3</c:v>
                </c:pt>
                <c:pt idx="28">
                  <c:v>3.7854860889982189E-2</c:v>
                </c:pt>
                <c:pt idx="29">
                  <c:v>5.3188021337758372E-2</c:v>
                </c:pt>
                <c:pt idx="30">
                  <c:v>3.9741127854053485E-3</c:v>
                </c:pt>
                <c:pt idx="31">
                  <c:v>0.20981230512305007</c:v>
                </c:pt>
                <c:pt idx="32">
                  <c:v>9.5908716425825678E-3</c:v>
                </c:pt>
                <c:pt idx="33">
                  <c:v>4.8284059005555538E-3</c:v>
                </c:pt>
                <c:pt idx="34">
                  <c:v>0.14608733675501584</c:v>
                </c:pt>
                <c:pt idx="35">
                  <c:v>5.0183985743032702E-3</c:v>
                </c:pt>
                <c:pt idx="36">
                  <c:v>5.4935357779143754E-2</c:v>
                </c:pt>
              </c:numCache>
            </c:numRef>
          </c:val>
          <c:extLst>
            <c:ext xmlns:c16="http://schemas.microsoft.com/office/drawing/2014/chart" uri="{C3380CC4-5D6E-409C-BE32-E72D297353CC}">
              <c16:uniqueId val="{00000001-F952-4764-879A-42613B5748D3}"/>
            </c:ext>
          </c:extLst>
        </c:ser>
        <c:dLbls>
          <c:showLegendKey val="0"/>
          <c:showVal val="0"/>
          <c:showCatName val="0"/>
          <c:showSerName val="0"/>
          <c:showPercent val="0"/>
          <c:showBubbleSize val="0"/>
        </c:dLbls>
        <c:gapWidth val="150"/>
        <c:overlap val="100"/>
        <c:axId val="1245703744"/>
        <c:axId val="1245706144"/>
      </c:barChart>
      <c:catAx>
        <c:axId val="12457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6144"/>
        <c:crosses val="autoZero"/>
        <c:auto val="1"/>
        <c:lblAlgn val="ctr"/>
        <c:lblOffset val="100"/>
        <c:noMultiLvlLbl val="0"/>
      </c:catAx>
      <c:valAx>
        <c:axId val="124570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[Tourism_Excel.xlsx]Sheet2!PivotTable5</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Sheet2!$B$92</c:f>
              <c:strCache>
                <c:ptCount val="1"/>
                <c:pt idx="0">
                  <c:v>Sum of Growth rate - DTV  2020/19</c:v>
                </c:pt>
              </c:strCache>
            </c:strRef>
          </c:tx>
          <c:spPr>
            <a:ln w="28575" cap="rnd">
              <a:solidFill>
                <a:schemeClr val="accent1"/>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Sheet2!$B$93:$B$130</c:f>
              <c:numCache>
                <c:formatCode>General</c:formatCode>
                <c:ptCount val="37"/>
                <c:pt idx="0">
                  <c:v>-62.17</c:v>
                </c:pt>
                <c:pt idx="1">
                  <c:v>-70.12</c:v>
                </c:pt>
                <c:pt idx="2">
                  <c:v>-92.28</c:v>
                </c:pt>
                <c:pt idx="3">
                  <c:v>-76.739999999999995</c:v>
                </c:pt>
                <c:pt idx="4">
                  <c:v>-83.41</c:v>
                </c:pt>
                <c:pt idx="5">
                  <c:v>-73.27</c:v>
                </c:pt>
                <c:pt idx="6">
                  <c:v>-83.76</c:v>
                </c:pt>
                <c:pt idx="7">
                  <c:v>-83.03</c:v>
                </c:pt>
                <c:pt idx="8">
                  <c:v>-66.87</c:v>
                </c:pt>
                <c:pt idx="9">
                  <c:v>-73.7</c:v>
                </c:pt>
                <c:pt idx="10">
                  <c:v>-54.28</c:v>
                </c:pt>
                <c:pt idx="11">
                  <c:v>-66.930000000000007</c:v>
                </c:pt>
                <c:pt idx="12">
                  <c:v>-53.51</c:v>
                </c:pt>
                <c:pt idx="13">
                  <c:v>-81.16</c:v>
                </c:pt>
                <c:pt idx="14">
                  <c:v>-84.41</c:v>
                </c:pt>
                <c:pt idx="15">
                  <c:v>-92.76</c:v>
                </c:pt>
                <c:pt idx="16">
                  <c:v>-66.02</c:v>
                </c:pt>
                <c:pt idx="17">
                  <c:v>-72.86</c:v>
                </c:pt>
                <c:pt idx="18">
                  <c:v>-97.21</c:v>
                </c:pt>
                <c:pt idx="19">
                  <c:v>-50.44</c:v>
                </c:pt>
                <c:pt idx="20">
                  <c:v>-73.489999999999995</c:v>
                </c:pt>
                <c:pt idx="21">
                  <c:v>-73.72</c:v>
                </c:pt>
                <c:pt idx="22">
                  <c:v>-70.36</c:v>
                </c:pt>
                <c:pt idx="23">
                  <c:v>-98.01</c:v>
                </c:pt>
                <c:pt idx="24">
                  <c:v>-81.14</c:v>
                </c:pt>
                <c:pt idx="25">
                  <c:v>-91.28</c:v>
                </c:pt>
                <c:pt idx="26">
                  <c:v>-69.8</c:v>
                </c:pt>
                <c:pt idx="27">
                  <c:v>-34.92</c:v>
                </c:pt>
                <c:pt idx="28">
                  <c:v>-64.77</c:v>
                </c:pt>
                <c:pt idx="29">
                  <c:v>-71.05</c:v>
                </c:pt>
                <c:pt idx="30">
                  <c:v>-77.75</c:v>
                </c:pt>
                <c:pt idx="31">
                  <c:v>-71.58</c:v>
                </c:pt>
                <c:pt idx="32">
                  <c:v>-51.83</c:v>
                </c:pt>
                <c:pt idx="33">
                  <c:v>-70.77</c:v>
                </c:pt>
                <c:pt idx="34">
                  <c:v>-83.93</c:v>
                </c:pt>
                <c:pt idx="35">
                  <c:v>-81.36</c:v>
                </c:pt>
                <c:pt idx="36">
                  <c:v>-68.77</c:v>
                </c:pt>
              </c:numCache>
            </c:numRef>
          </c:val>
          <c:smooth val="0"/>
          <c:extLst>
            <c:ext xmlns:c16="http://schemas.microsoft.com/office/drawing/2014/chart" uri="{C3380CC4-5D6E-409C-BE32-E72D297353CC}">
              <c16:uniqueId val="{00000000-8154-45F1-842E-0EDCB22CFD42}"/>
            </c:ext>
          </c:extLst>
        </c:ser>
        <c:ser>
          <c:idx val="1"/>
          <c:order val="1"/>
          <c:tx>
            <c:strRef>
              <c:f>Sheet2!$C$92</c:f>
              <c:strCache>
                <c:ptCount val="1"/>
                <c:pt idx="0">
                  <c:v>Sum of Growth rate - FTV 2020/19</c:v>
                </c:pt>
              </c:strCache>
            </c:strRef>
          </c:tx>
          <c:spPr>
            <a:ln w="28575" cap="rnd">
              <a:solidFill>
                <a:schemeClr val="accent2"/>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Sheet2!$C$93:$C$130</c:f>
              <c:numCache>
                <c:formatCode>General</c:formatCode>
                <c:ptCount val="37"/>
                <c:pt idx="0">
                  <c:v>-66.599999999999994</c:v>
                </c:pt>
                <c:pt idx="1">
                  <c:v>-75.89</c:v>
                </c:pt>
                <c:pt idx="2">
                  <c:v>-87.72</c:v>
                </c:pt>
                <c:pt idx="3">
                  <c:v>-72.900000000000006</c:v>
                </c:pt>
                <c:pt idx="4">
                  <c:v>-71.819999999999993</c:v>
                </c:pt>
                <c:pt idx="5">
                  <c:v>-72.31</c:v>
                </c:pt>
                <c:pt idx="6">
                  <c:v>-65.94</c:v>
                </c:pt>
                <c:pt idx="7">
                  <c:v>-86.67</c:v>
                </c:pt>
                <c:pt idx="8">
                  <c:v>-75.77</c:v>
                </c:pt>
                <c:pt idx="9">
                  <c:v>-77.2</c:v>
                </c:pt>
                <c:pt idx="10">
                  <c:v>-67.69</c:v>
                </c:pt>
                <c:pt idx="11">
                  <c:v>-64.73</c:v>
                </c:pt>
                <c:pt idx="12">
                  <c:v>-63.63</c:v>
                </c:pt>
                <c:pt idx="13">
                  <c:v>-88.86</c:v>
                </c:pt>
                <c:pt idx="14">
                  <c:v>-90.82</c:v>
                </c:pt>
                <c:pt idx="15">
                  <c:v>-99.72</c:v>
                </c:pt>
                <c:pt idx="16">
                  <c:v>-72.84</c:v>
                </c:pt>
                <c:pt idx="17">
                  <c:v>-71.36</c:v>
                </c:pt>
                <c:pt idx="18">
                  <c:v>-97.09</c:v>
                </c:pt>
                <c:pt idx="19">
                  <c:v>-49.63</c:v>
                </c:pt>
                <c:pt idx="20">
                  <c:v>-69.56</c:v>
                </c:pt>
                <c:pt idx="21">
                  <c:v>-77.2</c:v>
                </c:pt>
                <c:pt idx="22">
                  <c:v>-76.930000000000007</c:v>
                </c:pt>
                <c:pt idx="23">
                  <c:v>-91.05</c:v>
                </c:pt>
                <c:pt idx="24">
                  <c:v>-88.22</c:v>
                </c:pt>
                <c:pt idx="25">
                  <c:v>-90.71</c:v>
                </c:pt>
                <c:pt idx="26">
                  <c:v>-91.14</c:v>
                </c:pt>
                <c:pt idx="27">
                  <c:v>-38.58</c:v>
                </c:pt>
                <c:pt idx="28">
                  <c:v>-67.39</c:v>
                </c:pt>
                <c:pt idx="29">
                  <c:v>-72.19</c:v>
                </c:pt>
                <c:pt idx="30">
                  <c:v>-85.05</c:v>
                </c:pt>
                <c:pt idx="31">
                  <c:v>-82.11</c:v>
                </c:pt>
                <c:pt idx="32">
                  <c:v>-85.56</c:v>
                </c:pt>
                <c:pt idx="33">
                  <c:v>-79.349999999999994</c:v>
                </c:pt>
                <c:pt idx="34">
                  <c:v>-81.22</c:v>
                </c:pt>
                <c:pt idx="35">
                  <c:v>-72.849999999999994</c:v>
                </c:pt>
                <c:pt idx="36">
                  <c:v>-72.03</c:v>
                </c:pt>
              </c:numCache>
            </c:numRef>
          </c:val>
          <c:smooth val="0"/>
          <c:extLst>
            <c:ext xmlns:c16="http://schemas.microsoft.com/office/drawing/2014/chart" uri="{C3380CC4-5D6E-409C-BE32-E72D297353CC}">
              <c16:uniqueId val="{00000001-8154-45F1-842E-0EDCB22CFD42}"/>
            </c:ext>
          </c:extLst>
        </c:ser>
        <c:dLbls>
          <c:showLegendKey val="0"/>
          <c:showVal val="0"/>
          <c:showCatName val="0"/>
          <c:showSerName val="0"/>
          <c:showPercent val="0"/>
          <c:showBubbleSize val="0"/>
        </c:dLbls>
        <c:smooth val="0"/>
        <c:axId val="2111452480"/>
        <c:axId val="2111452960"/>
      </c:lineChart>
      <c:catAx>
        <c:axId val="21114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960"/>
        <c:crosses val="autoZero"/>
        <c:auto val="1"/>
        <c:lblAlgn val="ctr"/>
        <c:lblOffset val="100"/>
        <c:noMultiLvlLbl val="0"/>
      </c:catAx>
      <c:valAx>
        <c:axId val="211145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 BY VISTOR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Sheet2!$B$175</c:f>
              <c:strCache>
                <c:ptCount val="1"/>
                <c:pt idx="0">
                  <c:v>Total</c:v>
                </c:pt>
              </c:strCache>
            </c:strRef>
          </c:tx>
          <c:spPr>
            <a:solidFill>
              <a:schemeClr val="accent1"/>
            </a:solidFill>
            <a:ln>
              <a:noFill/>
            </a:ln>
            <a:effectLst/>
          </c:spPr>
          <c:invertIfNegative val="0"/>
          <c:cat>
            <c:strRef>
              <c:f>Sheet2!$A$176:$A$213</c:f>
              <c:strCache>
                <c:ptCount val="37"/>
                <c:pt idx="0">
                  <c:v>Tamil Nadu</c:v>
                </c:pt>
                <c:pt idx="1">
                  <c:v>Uttar Pradesh</c:v>
                </c:pt>
                <c:pt idx="2">
                  <c:v>Andhra Pradesh</c:v>
                </c:pt>
                <c:pt idx="3">
                  <c:v>Karnataka</c:v>
                </c:pt>
                <c:pt idx="4">
                  <c:v>Maharashtra #</c:v>
                </c:pt>
                <c:pt idx="5">
                  <c:v>Telengana</c:v>
                </c:pt>
                <c:pt idx="6">
                  <c:v>West Bengal</c:v>
                </c:pt>
                <c:pt idx="7">
                  <c:v>Madhya Pradesh</c:v>
                </c:pt>
                <c:pt idx="8">
                  <c:v>Gujarat</c:v>
                </c:pt>
                <c:pt idx="9">
                  <c:v>Rajasthan</c:v>
                </c:pt>
                <c:pt idx="10">
                  <c:v>Punjab</c:v>
                </c:pt>
                <c:pt idx="11">
                  <c:v>Delhi #</c:v>
                </c:pt>
                <c:pt idx="12">
                  <c:v>Uttarakhand</c:v>
                </c:pt>
                <c:pt idx="13">
                  <c:v>Bihar</c:v>
                </c:pt>
                <c:pt idx="14">
                  <c:v>Jharkhand</c:v>
                </c:pt>
                <c:pt idx="15">
                  <c:v>Kerala</c:v>
                </c:pt>
                <c:pt idx="16">
                  <c:v>Himachal Pradesh</c:v>
                </c:pt>
                <c:pt idx="17">
                  <c:v>Chhattisgarh</c:v>
                </c:pt>
                <c:pt idx="18">
                  <c:v>Odisha</c:v>
                </c:pt>
                <c:pt idx="19">
                  <c:v>J&amp;K</c:v>
                </c:pt>
                <c:pt idx="20">
                  <c:v>Goa</c:v>
                </c:pt>
                <c:pt idx="21">
                  <c:v>Assam</c:v>
                </c:pt>
                <c:pt idx="22">
                  <c:v>Haryana</c:v>
                </c:pt>
                <c:pt idx="23">
                  <c:v>Puducherry</c:v>
                </c:pt>
                <c:pt idx="24">
                  <c:v>Chandigarh</c:v>
                </c:pt>
                <c:pt idx="25">
                  <c:v>Sikkim</c:v>
                </c:pt>
                <c:pt idx="26">
                  <c:v>Meghalaya</c:v>
                </c:pt>
                <c:pt idx="27">
                  <c:v>Daman &amp; Diu</c:v>
                </c:pt>
                <c:pt idx="28">
                  <c:v>Tripura</c:v>
                </c:pt>
                <c:pt idx="29">
                  <c:v>Dadra &amp; Nagar Haveli</c:v>
                </c:pt>
                <c:pt idx="30">
                  <c:v>A&amp;N Island</c:v>
                </c:pt>
                <c:pt idx="31">
                  <c:v>Arunachal Pradesh</c:v>
                </c:pt>
                <c:pt idx="32">
                  <c:v>Ladakh</c:v>
                </c:pt>
                <c:pt idx="33">
                  <c:v>Manipur</c:v>
                </c:pt>
                <c:pt idx="34">
                  <c:v>Mizoram</c:v>
                </c:pt>
                <c:pt idx="35">
                  <c:v>Nagaland</c:v>
                </c:pt>
                <c:pt idx="36">
                  <c:v>Lakshdweep</c:v>
                </c:pt>
              </c:strCache>
            </c:strRef>
          </c:cat>
          <c:val>
            <c:numRef>
              <c:f>Sheet2!$B$176:$B$213</c:f>
              <c:numCache>
                <c:formatCode>0.0,,"M"</c:formatCode>
                <c:ptCount val="37"/>
                <c:pt idx="0">
                  <c:v>643611148</c:v>
                </c:pt>
                <c:pt idx="1">
                  <c:v>627613568</c:v>
                </c:pt>
                <c:pt idx="2">
                  <c:v>308228045</c:v>
                </c:pt>
                <c:pt idx="3">
                  <c:v>306162132</c:v>
                </c:pt>
                <c:pt idx="4">
                  <c:v>195320407</c:v>
                </c:pt>
                <c:pt idx="5">
                  <c:v>123402915</c:v>
                </c:pt>
                <c:pt idx="6">
                  <c:v>123327187</c:v>
                </c:pt>
                <c:pt idx="7">
                  <c:v>112654548</c:v>
                </c:pt>
                <c:pt idx="8">
                  <c:v>79134832</c:v>
                </c:pt>
                <c:pt idx="9">
                  <c:v>69389687</c:v>
                </c:pt>
                <c:pt idx="10">
                  <c:v>65538041</c:v>
                </c:pt>
                <c:pt idx="11">
                  <c:v>49715935</c:v>
                </c:pt>
                <c:pt idx="12">
                  <c:v>44784796</c:v>
                </c:pt>
                <c:pt idx="13">
                  <c:v>41029283</c:v>
                </c:pt>
                <c:pt idx="14">
                  <c:v>38332005</c:v>
                </c:pt>
                <c:pt idx="15">
                  <c:v>24903731</c:v>
                </c:pt>
                <c:pt idx="16">
                  <c:v>20425486</c:v>
                </c:pt>
                <c:pt idx="17">
                  <c:v>20123872</c:v>
                </c:pt>
                <c:pt idx="18">
                  <c:v>20055244</c:v>
                </c:pt>
                <c:pt idx="19">
                  <c:v>18746091</c:v>
                </c:pt>
                <c:pt idx="20">
                  <c:v>11625866</c:v>
                </c:pt>
                <c:pt idx="21">
                  <c:v>6748866</c:v>
                </c:pt>
                <c:pt idx="22">
                  <c:v>6729268</c:v>
                </c:pt>
                <c:pt idx="23">
                  <c:v>3070189</c:v>
                </c:pt>
                <c:pt idx="24">
                  <c:v>2038098</c:v>
                </c:pt>
                <c:pt idx="25">
                  <c:v>1891554</c:v>
                </c:pt>
                <c:pt idx="26">
                  <c:v>1298491</c:v>
                </c:pt>
                <c:pt idx="27">
                  <c:v>1202325</c:v>
                </c:pt>
                <c:pt idx="28">
                  <c:v>751298</c:v>
                </c:pt>
                <c:pt idx="29">
                  <c:v>725177</c:v>
                </c:pt>
                <c:pt idx="30">
                  <c:v>718223</c:v>
                </c:pt>
                <c:pt idx="31">
                  <c:v>607296</c:v>
                </c:pt>
                <c:pt idx="32">
                  <c:v>287806</c:v>
                </c:pt>
                <c:pt idx="33">
                  <c:v>233976</c:v>
                </c:pt>
                <c:pt idx="34">
                  <c:v>197166</c:v>
                </c:pt>
                <c:pt idx="35">
                  <c:v>143023</c:v>
                </c:pt>
                <c:pt idx="36">
                  <c:v>11680</c:v>
                </c:pt>
              </c:numCache>
            </c:numRef>
          </c:val>
          <c:extLst>
            <c:ext xmlns:c16="http://schemas.microsoft.com/office/drawing/2014/chart" uri="{C3380CC4-5D6E-409C-BE32-E72D297353CC}">
              <c16:uniqueId val="{00000000-CF75-4FE6-A603-014EE64C0FC1}"/>
            </c:ext>
          </c:extLst>
        </c:ser>
        <c:dLbls>
          <c:showLegendKey val="0"/>
          <c:showVal val="0"/>
          <c:showCatName val="0"/>
          <c:showSerName val="0"/>
          <c:showPercent val="0"/>
          <c:showBubbleSize val="0"/>
        </c:dLbls>
        <c:gapWidth val="219"/>
        <c:overlap val="-27"/>
        <c:axId val="1078136160"/>
        <c:axId val="1078138080"/>
      </c:barChart>
      <c:catAx>
        <c:axId val="107813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8080"/>
        <c:crosses val="autoZero"/>
        <c:auto val="1"/>
        <c:lblAlgn val="ctr"/>
        <c:lblOffset val="100"/>
        <c:noMultiLvlLbl val="0"/>
      </c:catAx>
      <c:valAx>
        <c:axId val="107813808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[Tourism_Excel.xlsx]Sheet2!PivotTable3</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Sheet2!$B$44</c:f>
              <c:strCache>
                <c:ptCount val="1"/>
                <c:pt idx="0">
                  <c:v>Sum of Total_Vistor_Domestic</c:v>
                </c:pt>
              </c:strCache>
            </c:strRef>
          </c:tx>
          <c:spPr>
            <a:solidFill>
              <a:schemeClr val="accent1"/>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Sheet2!$B$45:$B$82</c:f>
              <c:numCache>
                <c:formatCode>0.00%</c:formatCode>
                <c:ptCount val="37"/>
                <c:pt idx="0">
                  <c:v>2.3757086158298092E-4</c:v>
                </c:pt>
                <c:pt idx="1">
                  <c:v>0.10499973463600261</c:v>
                </c:pt>
                <c:pt idx="2">
                  <c:v>2.0411644528252009E-4</c:v>
                </c:pt>
                <c:pt idx="3">
                  <c:v>2.2899889851261861E-3</c:v>
                </c:pt>
                <c:pt idx="4">
                  <c:v>1.3514793652362222E-2</c:v>
                </c:pt>
                <c:pt idx="5">
                  <c:v>6.7585730765692075E-4</c:v>
                </c:pt>
                <c:pt idx="6">
                  <c:v>6.8599485351406014E-3</c:v>
                </c:pt>
                <c:pt idx="7">
                  <c:v>2.4667119946525319E-4</c:v>
                </c:pt>
                <c:pt idx="8">
                  <c:v>4.0762583759582853E-4</c:v>
                </c:pt>
                <c:pt idx="9">
                  <c:v>1.5705370551919121E-2</c:v>
                </c:pt>
                <c:pt idx="10">
                  <c:v>3.54205244513399E-3</c:v>
                </c:pt>
                <c:pt idx="11">
                  <c:v>2.6713460719556527E-2</c:v>
                </c:pt>
                <c:pt idx="12">
                  <c:v>2.2726112412800167E-3</c:v>
                </c:pt>
                <c:pt idx="13">
                  <c:v>6.8208011215283148E-3</c:v>
                </c:pt>
                <c:pt idx="14">
                  <c:v>6.3716190977800066E-3</c:v>
                </c:pt>
                <c:pt idx="15">
                  <c:v>1.3012580095097372E-2</c:v>
                </c:pt>
                <c:pt idx="16">
                  <c:v>0.10414984513226153</c:v>
                </c:pt>
                <c:pt idx="17">
                  <c:v>7.9712210647434889E-3</c:v>
                </c:pt>
                <c:pt idx="18">
                  <c:v>8.4587715644739264E-5</c:v>
                </c:pt>
                <c:pt idx="19">
                  <c:v>3.56285526368229E-6</c:v>
                </c:pt>
                <c:pt idx="20">
                  <c:v>3.827392952842127E-2</c:v>
                </c:pt>
                <c:pt idx="21">
                  <c:v>6.4296217812406048E-2</c:v>
                </c:pt>
                <c:pt idx="22">
                  <c:v>7.4083994072407413E-5</c:v>
                </c:pt>
                <c:pt idx="23">
                  <c:v>4.3324722434749495E-4</c:v>
                </c:pt>
                <c:pt idx="24">
                  <c:v>6.6384311552243239E-5</c:v>
                </c:pt>
                <c:pt idx="25">
                  <c:v>4.6698061218099802E-5</c:v>
                </c:pt>
                <c:pt idx="26">
                  <c:v>6.7969163155177864E-3</c:v>
                </c:pt>
                <c:pt idx="27">
                  <c:v>9.6452872864876197E-4</c:v>
                </c:pt>
                <c:pt idx="28">
                  <c:v>2.1853082936579313E-2</c:v>
                </c:pt>
                <c:pt idx="29">
                  <c:v>2.2964905906346419E-2</c:v>
                </c:pt>
                <c:pt idx="30">
                  <c:v>5.9280802793584104E-4</c:v>
                </c:pt>
                <c:pt idx="31">
                  <c:v>0.21673717814264723</c:v>
                </c:pt>
                <c:pt idx="32">
                  <c:v>4.1959260798010961E-2</c:v>
                </c:pt>
                <c:pt idx="33">
                  <c:v>1.9269361823152223E-4</c:v>
                </c:pt>
                <c:pt idx="34">
                  <c:v>0.21211980946094236</c:v>
                </c:pt>
                <c:pt idx="35">
                  <c:v>1.5207421712283481E-2</c:v>
                </c:pt>
                <c:pt idx="36">
                  <c:v>4.1336813920414849E-2</c:v>
                </c:pt>
              </c:numCache>
            </c:numRef>
          </c:val>
          <c:extLst>
            <c:ext xmlns:c16="http://schemas.microsoft.com/office/drawing/2014/chart" uri="{C3380CC4-5D6E-409C-BE32-E72D297353CC}">
              <c16:uniqueId val="{00000003-1EC1-4BB0-8285-26CD1E1BCEBA}"/>
            </c:ext>
          </c:extLst>
        </c:ser>
        <c:ser>
          <c:idx val="1"/>
          <c:order val="1"/>
          <c:tx>
            <c:strRef>
              <c:f>Sheet2!$C$44</c:f>
              <c:strCache>
                <c:ptCount val="1"/>
                <c:pt idx="0">
                  <c:v>Sum of Total_visitor_Foreign</c:v>
                </c:pt>
              </c:strCache>
            </c:strRef>
          </c:tx>
          <c:spPr>
            <a:solidFill>
              <a:schemeClr val="accent2"/>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Sheet2!$C$45:$C$82</c:f>
              <c:numCache>
                <c:formatCode>0.00%</c:formatCode>
                <c:ptCount val="37"/>
                <c:pt idx="0">
                  <c:v>5.6033582825077007E-4</c:v>
                </c:pt>
                <c:pt idx="1">
                  <c:v>9.0187422718276764E-3</c:v>
                </c:pt>
                <c:pt idx="2">
                  <c:v>2.2773200976090603E-4</c:v>
                </c:pt>
                <c:pt idx="3">
                  <c:v>8.8550064300726517E-4</c:v>
                </c:pt>
                <c:pt idx="4">
                  <c:v>3.6319471255313734E-2</c:v>
                </c:pt>
                <c:pt idx="5">
                  <c:v>1.4605848793565962E-3</c:v>
                </c:pt>
                <c:pt idx="6">
                  <c:v>2.3688172515421352E-4</c:v>
                </c:pt>
                <c:pt idx="7">
                  <c:v>4.8936721423695712E-5</c:v>
                </c:pt>
                <c:pt idx="8">
                  <c:v>1.8364230470703608E-4</c:v>
                </c:pt>
                <c:pt idx="9">
                  <c:v>9.4987679636064234E-2</c:v>
                </c:pt>
                <c:pt idx="10">
                  <c:v>3.2137118205121329E-2</c:v>
                </c:pt>
                <c:pt idx="11">
                  <c:v>2.0882449873880375E-2</c:v>
                </c:pt>
                <c:pt idx="12">
                  <c:v>1.698270120593508E-3</c:v>
                </c:pt>
                <c:pt idx="13">
                  <c:v>1.1029968946695392E-2</c:v>
                </c:pt>
                <c:pt idx="14">
                  <c:v>1.6390950490838168E-3</c:v>
                </c:pt>
                <c:pt idx="15">
                  <c:v>4.5757130524837269E-3</c:v>
                </c:pt>
                <c:pt idx="16">
                  <c:v>2.0064029863841606E-2</c:v>
                </c:pt>
                <c:pt idx="17">
                  <c:v>3.9671040515743279E-2</c:v>
                </c:pt>
                <c:pt idx="18">
                  <c:v>1.0310407334702162E-3</c:v>
                </c:pt>
                <c:pt idx="19">
                  <c:v>3.1959204192487724E-5</c:v>
                </c:pt>
                <c:pt idx="20">
                  <c:v>1.1087925784144217E-2</c:v>
                </c:pt>
                <c:pt idx="21">
                  <c:v>0.17602479080393987</c:v>
                </c:pt>
                <c:pt idx="22">
                  <c:v>4.3408012377258061E-4</c:v>
                </c:pt>
                <c:pt idx="23">
                  <c:v>7.2897052612289103E-4</c:v>
                </c:pt>
                <c:pt idx="24">
                  <c:v>6.5162562319476177E-5</c:v>
                </c:pt>
                <c:pt idx="25">
                  <c:v>1.5798162980795835E-4</c:v>
                </c:pt>
                <c:pt idx="26">
                  <c:v>3.2486414422232407E-3</c:v>
                </c:pt>
                <c:pt idx="27">
                  <c:v>6.272583499900921E-3</c:v>
                </c:pt>
                <c:pt idx="28">
                  <c:v>3.7854860889982189E-2</c:v>
                </c:pt>
                <c:pt idx="29">
                  <c:v>5.3188021337758372E-2</c:v>
                </c:pt>
                <c:pt idx="30">
                  <c:v>3.9741127854053485E-3</c:v>
                </c:pt>
                <c:pt idx="31">
                  <c:v>0.20981230512305007</c:v>
                </c:pt>
                <c:pt idx="32">
                  <c:v>9.5908716425825678E-3</c:v>
                </c:pt>
                <c:pt idx="33">
                  <c:v>4.8284059005555538E-3</c:v>
                </c:pt>
                <c:pt idx="34">
                  <c:v>0.14608733675501584</c:v>
                </c:pt>
                <c:pt idx="35">
                  <c:v>5.0183985743032702E-3</c:v>
                </c:pt>
                <c:pt idx="36">
                  <c:v>5.4935357779143754E-2</c:v>
                </c:pt>
              </c:numCache>
            </c:numRef>
          </c:val>
          <c:extLst>
            <c:ext xmlns:c16="http://schemas.microsoft.com/office/drawing/2014/chart" uri="{C3380CC4-5D6E-409C-BE32-E72D297353CC}">
              <c16:uniqueId val="{00000004-1EC1-4BB0-8285-26CD1E1BCEBA}"/>
            </c:ext>
          </c:extLst>
        </c:ser>
        <c:dLbls>
          <c:showLegendKey val="0"/>
          <c:showVal val="0"/>
          <c:showCatName val="0"/>
          <c:showSerName val="0"/>
          <c:showPercent val="0"/>
          <c:showBubbleSize val="0"/>
        </c:dLbls>
        <c:gapWidth val="150"/>
        <c:overlap val="100"/>
        <c:axId val="1245703744"/>
        <c:axId val="1245706144"/>
      </c:barChart>
      <c:catAx>
        <c:axId val="12457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6144"/>
        <c:crosses val="autoZero"/>
        <c:auto val="1"/>
        <c:lblAlgn val="ctr"/>
        <c:lblOffset val="100"/>
        <c:noMultiLvlLbl val="0"/>
      </c:catAx>
      <c:valAx>
        <c:axId val="124570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[Tourism_Excel.xlsx]Sheet2!PivotTable5</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Sheet2!$B$92</c:f>
              <c:strCache>
                <c:ptCount val="1"/>
                <c:pt idx="0">
                  <c:v>Sum of Growth rate - DTV  2020/19</c:v>
                </c:pt>
              </c:strCache>
            </c:strRef>
          </c:tx>
          <c:spPr>
            <a:ln w="28575" cap="rnd">
              <a:solidFill>
                <a:schemeClr val="accent1"/>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Sheet2!$B$93:$B$130</c:f>
              <c:numCache>
                <c:formatCode>General</c:formatCode>
                <c:ptCount val="37"/>
                <c:pt idx="0">
                  <c:v>-62.17</c:v>
                </c:pt>
                <c:pt idx="1">
                  <c:v>-70.12</c:v>
                </c:pt>
                <c:pt idx="2">
                  <c:v>-92.28</c:v>
                </c:pt>
                <c:pt idx="3">
                  <c:v>-76.739999999999995</c:v>
                </c:pt>
                <c:pt idx="4">
                  <c:v>-83.41</c:v>
                </c:pt>
                <c:pt idx="5">
                  <c:v>-73.27</c:v>
                </c:pt>
                <c:pt idx="6">
                  <c:v>-83.76</c:v>
                </c:pt>
                <c:pt idx="7">
                  <c:v>-83.03</c:v>
                </c:pt>
                <c:pt idx="8">
                  <c:v>-66.87</c:v>
                </c:pt>
                <c:pt idx="9">
                  <c:v>-73.7</c:v>
                </c:pt>
                <c:pt idx="10">
                  <c:v>-54.28</c:v>
                </c:pt>
                <c:pt idx="11">
                  <c:v>-66.930000000000007</c:v>
                </c:pt>
                <c:pt idx="12">
                  <c:v>-53.51</c:v>
                </c:pt>
                <c:pt idx="13">
                  <c:v>-81.16</c:v>
                </c:pt>
                <c:pt idx="14">
                  <c:v>-84.41</c:v>
                </c:pt>
                <c:pt idx="15">
                  <c:v>-92.76</c:v>
                </c:pt>
                <c:pt idx="16">
                  <c:v>-66.02</c:v>
                </c:pt>
                <c:pt idx="17">
                  <c:v>-72.86</c:v>
                </c:pt>
                <c:pt idx="18">
                  <c:v>-97.21</c:v>
                </c:pt>
                <c:pt idx="19">
                  <c:v>-50.44</c:v>
                </c:pt>
                <c:pt idx="20">
                  <c:v>-73.489999999999995</c:v>
                </c:pt>
                <c:pt idx="21">
                  <c:v>-73.72</c:v>
                </c:pt>
                <c:pt idx="22">
                  <c:v>-70.36</c:v>
                </c:pt>
                <c:pt idx="23">
                  <c:v>-98.01</c:v>
                </c:pt>
                <c:pt idx="24">
                  <c:v>-81.14</c:v>
                </c:pt>
                <c:pt idx="25">
                  <c:v>-91.28</c:v>
                </c:pt>
                <c:pt idx="26">
                  <c:v>-69.8</c:v>
                </c:pt>
                <c:pt idx="27">
                  <c:v>-34.92</c:v>
                </c:pt>
                <c:pt idx="28">
                  <c:v>-64.77</c:v>
                </c:pt>
                <c:pt idx="29">
                  <c:v>-71.05</c:v>
                </c:pt>
                <c:pt idx="30">
                  <c:v>-77.75</c:v>
                </c:pt>
                <c:pt idx="31">
                  <c:v>-71.58</c:v>
                </c:pt>
                <c:pt idx="32">
                  <c:v>-51.83</c:v>
                </c:pt>
                <c:pt idx="33">
                  <c:v>-70.77</c:v>
                </c:pt>
                <c:pt idx="34">
                  <c:v>-83.93</c:v>
                </c:pt>
                <c:pt idx="35">
                  <c:v>-81.36</c:v>
                </c:pt>
                <c:pt idx="36">
                  <c:v>-68.77</c:v>
                </c:pt>
              </c:numCache>
            </c:numRef>
          </c:val>
          <c:smooth val="0"/>
          <c:extLst>
            <c:ext xmlns:c16="http://schemas.microsoft.com/office/drawing/2014/chart" uri="{C3380CC4-5D6E-409C-BE32-E72D297353CC}">
              <c16:uniqueId val="{00000000-D8FC-42D4-ABAD-ED5C9073FB90}"/>
            </c:ext>
          </c:extLst>
        </c:ser>
        <c:ser>
          <c:idx val="1"/>
          <c:order val="1"/>
          <c:tx>
            <c:strRef>
              <c:f>Sheet2!$C$92</c:f>
              <c:strCache>
                <c:ptCount val="1"/>
                <c:pt idx="0">
                  <c:v>Sum of Growth rate - FTV 2020/19</c:v>
                </c:pt>
              </c:strCache>
            </c:strRef>
          </c:tx>
          <c:spPr>
            <a:ln w="28575" cap="rnd">
              <a:solidFill>
                <a:schemeClr val="accent2"/>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Sheet2!$C$93:$C$130</c:f>
              <c:numCache>
                <c:formatCode>General</c:formatCode>
                <c:ptCount val="37"/>
                <c:pt idx="0">
                  <c:v>-66.599999999999994</c:v>
                </c:pt>
                <c:pt idx="1">
                  <c:v>-75.89</c:v>
                </c:pt>
                <c:pt idx="2">
                  <c:v>-87.72</c:v>
                </c:pt>
                <c:pt idx="3">
                  <c:v>-72.900000000000006</c:v>
                </c:pt>
                <c:pt idx="4">
                  <c:v>-71.819999999999993</c:v>
                </c:pt>
                <c:pt idx="5">
                  <c:v>-72.31</c:v>
                </c:pt>
                <c:pt idx="6">
                  <c:v>-65.94</c:v>
                </c:pt>
                <c:pt idx="7">
                  <c:v>-86.67</c:v>
                </c:pt>
                <c:pt idx="8">
                  <c:v>-75.77</c:v>
                </c:pt>
                <c:pt idx="9">
                  <c:v>-77.2</c:v>
                </c:pt>
                <c:pt idx="10">
                  <c:v>-67.69</c:v>
                </c:pt>
                <c:pt idx="11">
                  <c:v>-64.73</c:v>
                </c:pt>
                <c:pt idx="12">
                  <c:v>-63.63</c:v>
                </c:pt>
                <c:pt idx="13">
                  <c:v>-88.86</c:v>
                </c:pt>
                <c:pt idx="14">
                  <c:v>-90.82</c:v>
                </c:pt>
                <c:pt idx="15">
                  <c:v>-99.72</c:v>
                </c:pt>
                <c:pt idx="16">
                  <c:v>-72.84</c:v>
                </c:pt>
                <c:pt idx="17">
                  <c:v>-71.36</c:v>
                </c:pt>
                <c:pt idx="18">
                  <c:v>-97.09</c:v>
                </c:pt>
                <c:pt idx="19">
                  <c:v>-49.63</c:v>
                </c:pt>
                <c:pt idx="20">
                  <c:v>-69.56</c:v>
                </c:pt>
                <c:pt idx="21">
                  <c:v>-77.2</c:v>
                </c:pt>
                <c:pt idx="22">
                  <c:v>-76.930000000000007</c:v>
                </c:pt>
                <c:pt idx="23">
                  <c:v>-91.05</c:v>
                </c:pt>
                <c:pt idx="24">
                  <c:v>-88.22</c:v>
                </c:pt>
                <c:pt idx="25">
                  <c:v>-90.71</c:v>
                </c:pt>
                <c:pt idx="26">
                  <c:v>-91.14</c:v>
                </c:pt>
                <c:pt idx="27">
                  <c:v>-38.58</c:v>
                </c:pt>
                <c:pt idx="28">
                  <c:v>-67.39</c:v>
                </c:pt>
                <c:pt idx="29">
                  <c:v>-72.19</c:v>
                </c:pt>
                <c:pt idx="30">
                  <c:v>-85.05</c:v>
                </c:pt>
                <c:pt idx="31">
                  <c:v>-82.11</c:v>
                </c:pt>
                <c:pt idx="32">
                  <c:v>-85.56</c:v>
                </c:pt>
                <c:pt idx="33">
                  <c:v>-79.349999999999994</c:v>
                </c:pt>
                <c:pt idx="34">
                  <c:v>-81.22</c:v>
                </c:pt>
                <c:pt idx="35">
                  <c:v>-72.849999999999994</c:v>
                </c:pt>
                <c:pt idx="36">
                  <c:v>-72.03</c:v>
                </c:pt>
              </c:numCache>
            </c:numRef>
          </c:val>
          <c:smooth val="0"/>
          <c:extLst>
            <c:ext xmlns:c16="http://schemas.microsoft.com/office/drawing/2014/chart" uri="{C3380CC4-5D6E-409C-BE32-E72D297353CC}">
              <c16:uniqueId val="{00000001-D8FC-42D4-ABAD-ED5C9073FB90}"/>
            </c:ext>
          </c:extLst>
        </c:ser>
        <c:dLbls>
          <c:showLegendKey val="0"/>
          <c:showVal val="0"/>
          <c:showCatName val="0"/>
          <c:showSerName val="0"/>
          <c:showPercent val="0"/>
          <c:showBubbleSize val="0"/>
        </c:dLbls>
        <c:smooth val="0"/>
        <c:axId val="2111452480"/>
        <c:axId val="2111452960"/>
      </c:lineChart>
      <c:catAx>
        <c:axId val="21114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960"/>
        <c:crosses val="autoZero"/>
        <c:auto val="1"/>
        <c:lblAlgn val="ctr"/>
        <c:lblOffset val="100"/>
        <c:noMultiLvlLbl val="0"/>
      </c:catAx>
      <c:valAx>
        <c:axId val="211145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[Tourism_Excel.xlsx]Sheet2!PivotTable2</c:name>
    <c:fmtId val="19"/>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Sheet2!$B$3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A67-4AE4-B5C0-53FAA3980FA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A67-4AE4-B5C0-53FAA3980FA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A67-4AE4-B5C0-53FAA3980FAD}"/>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A67-4AE4-B5C0-53FAA3980FA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EA67-4AE4-B5C0-53FAA3980FA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EA67-4AE4-B5C0-53FAA3980FAD}"/>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EA67-4AE4-B5C0-53FAA3980FAD}"/>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EA67-4AE4-B5C0-53FAA3980FAD}"/>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EA67-4AE4-B5C0-53FAA3980FAD}"/>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EA67-4AE4-B5C0-53FAA3980FAD}"/>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EA67-4AE4-B5C0-53FAA3980FAD}"/>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EA67-4AE4-B5C0-53FAA3980FAD}"/>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EA67-4AE4-B5C0-53FAA3980FAD}"/>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EA67-4AE4-B5C0-53FAA3980FAD}"/>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EA67-4AE4-B5C0-53FAA3980FAD}"/>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EA67-4AE4-B5C0-53FAA3980FAD}"/>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EA67-4AE4-B5C0-53FAA3980FAD}"/>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EA67-4AE4-B5C0-53FAA3980FAD}"/>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EA67-4AE4-B5C0-53FAA3980FAD}"/>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EA67-4AE4-B5C0-53FAA3980FAD}"/>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EA67-4AE4-B5C0-53FAA3980FAD}"/>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EA67-4AE4-B5C0-53FAA3980FAD}"/>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EA67-4AE4-B5C0-53FAA3980FAD}"/>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EA67-4AE4-B5C0-53FAA3980FAD}"/>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EA67-4AE4-B5C0-53FAA3980FAD}"/>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EA67-4AE4-B5C0-53FAA3980FAD}"/>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EA67-4AE4-B5C0-53FAA3980FAD}"/>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EA67-4AE4-B5C0-53FAA3980FAD}"/>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EA67-4AE4-B5C0-53FAA3980FAD}"/>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EA67-4AE4-B5C0-53FAA3980FAD}"/>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EA67-4AE4-B5C0-53FAA3980FAD}"/>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EA67-4AE4-B5C0-53FAA3980FAD}"/>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EA67-4AE4-B5C0-53FAA3980FAD}"/>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EA67-4AE4-B5C0-53FAA3980FAD}"/>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45-EA67-4AE4-B5C0-53FAA3980FAD}"/>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47-EA67-4AE4-B5C0-53FAA3980FAD}"/>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49-EA67-4AE4-B5C0-53FAA3980FAD}"/>
              </c:ext>
            </c:extLst>
          </c:dPt>
          <c:cat>
            <c:strRef>
              <c:f>Sheet2!$A$4:$A$41</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Sheet2!$B$4:$B$41</c:f>
              <c:numCache>
                <c:formatCode>0.00%</c:formatCode>
                <c:ptCount val="37"/>
                <c:pt idx="0">
                  <c:v>2.4176249338997085E-4</c:v>
                </c:pt>
                <c:pt idx="1">
                  <c:v>0.10375326422561813</c:v>
                </c:pt>
                <c:pt idx="2">
                  <c:v>2.0442313207145375E-4</c:v>
                </c:pt>
                <c:pt idx="3">
                  <c:v>2.2717494033396299E-3</c:v>
                </c:pt>
                <c:pt idx="4">
                  <c:v>1.3810949746920863E-2</c:v>
                </c:pt>
                <c:pt idx="5">
                  <c:v>6.8604828062191381E-4</c:v>
                </c:pt>
                <c:pt idx="6">
                  <c:v>6.773937163500221E-3</c:v>
                </c:pt>
                <c:pt idx="7">
                  <c:v>2.4410329336300686E-4</c:v>
                </c:pt>
                <c:pt idx="8">
                  <c:v>4.0471704451834135E-4</c:v>
                </c:pt>
                <c:pt idx="9">
                  <c:v>1.6734981206134751E-2</c:v>
                </c:pt>
                <c:pt idx="10">
                  <c:v>3.9134062150302717E-3</c:v>
                </c:pt>
                <c:pt idx="11">
                  <c:v>2.6637735492063681E-2</c:v>
                </c:pt>
                <c:pt idx="12">
                  <c:v>2.2651524810112489E-3</c:v>
                </c:pt>
                <c:pt idx="13">
                  <c:v>6.8754640606913759E-3</c:v>
                </c:pt>
                <c:pt idx="14">
                  <c:v>6.3101595207551023E-3</c:v>
                </c:pt>
                <c:pt idx="15">
                  <c:v>1.2903013556286598E-2</c:v>
                </c:pt>
                <c:pt idx="16">
                  <c:v>0.1030578530817161</c:v>
                </c:pt>
                <c:pt idx="17">
                  <c:v>8.382895147152224E-3</c:v>
                </c:pt>
                <c:pt idx="18">
                  <c:v>9.6878958446880634E-5</c:v>
                </c:pt>
                <c:pt idx="19">
                  <c:v>3.9316283700116255E-6</c:v>
                </c:pt>
                <c:pt idx="20">
                  <c:v>3.7920874736955171E-2</c:v>
                </c:pt>
                <c:pt idx="21">
                  <c:v>6.5747196353032292E-2</c:v>
                </c:pt>
                <c:pt idx="22">
                  <c:v>7.8759133518993153E-5</c:v>
                </c:pt>
                <c:pt idx="23">
                  <c:v>4.3708767583944909E-4</c:v>
                </c:pt>
                <c:pt idx="24">
                  <c:v>6.6368445137132882E-5</c:v>
                </c:pt>
                <c:pt idx="25">
                  <c:v>4.814326064761752E-5</c:v>
                </c:pt>
                <c:pt idx="26">
                  <c:v>6.7508361539302588E-3</c:v>
                </c:pt>
                <c:pt idx="27">
                  <c:v>1.0334625148713716E-3</c:v>
                </c:pt>
                <c:pt idx="28">
                  <c:v>2.2060892235495295E-2</c:v>
                </c:pt>
                <c:pt idx="29">
                  <c:v>2.3357402568101614E-2</c:v>
                </c:pt>
                <c:pt idx="30">
                  <c:v>6.3671980905898712E-4</c:v>
                </c:pt>
                <c:pt idx="31">
                  <c:v>0.21664724732299237</c:v>
                </c:pt>
                <c:pt idx="32">
                  <c:v>4.153890424281962E-2</c:v>
                </c:pt>
                <c:pt idx="33">
                  <c:v>2.5289593588467412E-4</c:v>
                </c:pt>
                <c:pt idx="34">
                  <c:v>0.21126226963638872</c:v>
                </c:pt>
                <c:pt idx="35">
                  <c:v>1.5075100556402666E-2</c:v>
                </c:pt>
                <c:pt idx="36">
                  <c:v>4.1513413287921991E-2</c:v>
                </c:pt>
              </c:numCache>
            </c:numRef>
          </c:val>
          <c:extLst>
            <c:ext xmlns:c16="http://schemas.microsoft.com/office/drawing/2014/chart" uri="{C3380CC4-5D6E-409C-BE32-E72D297353CC}">
              <c16:uniqueId val="{0000004A-4FE8-47A3-BC73-98BB849BDB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 BY VISTOR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Sheet2!$B$175</c:f>
              <c:strCache>
                <c:ptCount val="1"/>
                <c:pt idx="0">
                  <c:v>Total</c:v>
                </c:pt>
              </c:strCache>
            </c:strRef>
          </c:tx>
          <c:spPr>
            <a:solidFill>
              <a:schemeClr val="accent1"/>
            </a:solidFill>
            <a:ln>
              <a:noFill/>
            </a:ln>
            <a:effectLst/>
          </c:spPr>
          <c:invertIfNegative val="0"/>
          <c:cat>
            <c:strRef>
              <c:f>Sheet2!$A$176:$A$213</c:f>
              <c:strCache>
                <c:ptCount val="37"/>
                <c:pt idx="0">
                  <c:v>Tamil Nadu</c:v>
                </c:pt>
                <c:pt idx="1">
                  <c:v>Uttar Pradesh</c:v>
                </c:pt>
                <c:pt idx="2">
                  <c:v>Andhra Pradesh</c:v>
                </c:pt>
                <c:pt idx="3">
                  <c:v>Karnataka</c:v>
                </c:pt>
                <c:pt idx="4">
                  <c:v>Maharashtra #</c:v>
                </c:pt>
                <c:pt idx="5">
                  <c:v>Telengana</c:v>
                </c:pt>
                <c:pt idx="6">
                  <c:v>West Bengal</c:v>
                </c:pt>
                <c:pt idx="7">
                  <c:v>Madhya Pradesh</c:v>
                </c:pt>
                <c:pt idx="8">
                  <c:v>Gujarat</c:v>
                </c:pt>
                <c:pt idx="9">
                  <c:v>Rajasthan</c:v>
                </c:pt>
                <c:pt idx="10">
                  <c:v>Punjab</c:v>
                </c:pt>
                <c:pt idx="11">
                  <c:v>Delhi #</c:v>
                </c:pt>
                <c:pt idx="12">
                  <c:v>Uttarakhand</c:v>
                </c:pt>
                <c:pt idx="13">
                  <c:v>Bihar</c:v>
                </c:pt>
                <c:pt idx="14">
                  <c:v>Jharkhand</c:v>
                </c:pt>
                <c:pt idx="15">
                  <c:v>Kerala</c:v>
                </c:pt>
                <c:pt idx="16">
                  <c:v>Himachal Pradesh</c:v>
                </c:pt>
                <c:pt idx="17">
                  <c:v>Chhattisgarh</c:v>
                </c:pt>
                <c:pt idx="18">
                  <c:v>Odisha</c:v>
                </c:pt>
                <c:pt idx="19">
                  <c:v>J&amp;K</c:v>
                </c:pt>
                <c:pt idx="20">
                  <c:v>Goa</c:v>
                </c:pt>
                <c:pt idx="21">
                  <c:v>Assam</c:v>
                </c:pt>
                <c:pt idx="22">
                  <c:v>Haryana</c:v>
                </c:pt>
                <c:pt idx="23">
                  <c:v>Puducherry</c:v>
                </c:pt>
                <c:pt idx="24">
                  <c:v>Chandigarh</c:v>
                </c:pt>
                <c:pt idx="25">
                  <c:v>Sikkim</c:v>
                </c:pt>
                <c:pt idx="26">
                  <c:v>Meghalaya</c:v>
                </c:pt>
                <c:pt idx="27">
                  <c:v>Daman &amp; Diu</c:v>
                </c:pt>
                <c:pt idx="28">
                  <c:v>Tripura</c:v>
                </c:pt>
                <c:pt idx="29">
                  <c:v>Dadra &amp; Nagar Haveli</c:v>
                </c:pt>
                <c:pt idx="30">
                  <c:v>A&amp;N Island</c:v>
                </c:pt>
                <c:pt idx="31">
                  <c:v>Arunachal Pradesh</c:v>
                </c:pt>
                <c:pt idx="32">
                  <c:v>Ladakh</c:v>
                </c:pt>
                <c:pt idx="33">
                  <c:v>Manipur</c:v>
                </c:pt>
                <c:pt idx="34">
                  <c:v>Mizoram</c:v>
                </c:pt>
                <c:pt idx="35">
                  <c:v>Nagaland</c:v>
                </c:pt>
                <c:pt idx="36">
                  <c:v>Lakshdweep</c:v>
                </c:pt>
              </c:strCache>
            </c:strRef>
          </c:cat>
          <c:val>
            <c:numRef>
              <c:f>Sheet2!$B$176:$B$213</c:f>
              <c:numCache>
                <c:formatCode>0.0,,"M"</c:formatCode>
                <c:ptCount val="37"/>
                <c:pt idx="0">
                  <c:v>643611148</c:v>
                </c:pt>
                <c:pt idx="1">
                  <c:v>627613568</c:v>
                </c:pt>
                <c:pt idx="2">
                  <c:v>308228045</c:v>
                </c:pt>
                <c:pt idx="3">
                  <c:v>306162132</c:v>
                </c:pt>
                <c:pt idx="4">
                  <c:v>195320407</c:v>
                </c:pt>
                <c:pt idx="5">
                  <c:v>123402915</c:v>
                </c:pt>
                <c:pt idx="6">
                  <c:v>123327187</c:v>
                </c:pt>
                <c:pt idx="7">
                  <c:v>112654548</c:v>
                </c:pt>
                <c:pt idx="8">
                  <c:v>79134832</c:v>
                </c:pt>
                <c:pt idx="9">
                  <c:v>69389687</c:v>
                </c:pt>
                <c:pt idx="10">
                  <c:v>65538041</c:v>
                </c:pt>
                <c:pt idx="11">
                  <c:v>49715935</c:v>
                </c:pt>
                <c:pt idx="12">
                  <c:v>44784796</c:v>
                </c:pt>
                <c:pt idx="13">
                  <c:v>41029283</c:v>
                </c:pt>
                <c:pt idx="14">
                  <c:v>38332005</c:v>
                </c:pt>
                <c:pt idx="15">
                  <c:v>24903731</c:v>
                </c:pt>
                <c:pt idx="16">
                  <c:v>20425486</c:v>
                </c:pt>
                <c:pt idx="17">
                  <c:v>20123872</c:v>
                </c:pt>
                <c:pt idx="18">
                  <c:v>20055244</c:v>
                </c:pt>
                <c:pt idx="19">
                  <c:v>18746091</c:v>
                </c:pt>
                <c:pt idx="20">
                  <c:v>11625866</c:v>
                </c:pt>
                <c:pt idx="21">
                  <c:v>6748866</c:v>
                </c:pt>
                <c:pt idx="22">
                  <c:v>6729268</c:v>
                </c:pt>
                <c:pt idx="23">
                  <c:v>3070189</c:v>
                </c:pt>
                <c:pt idx="24">
                  <c:v>2038098</c:v>
                </c:pt>
                <c:pt idx="25">
                  <c:v>1891554</c:v>
                </c:pt>
                <c:pt idx="26">
                  <c:v>1298491</c:v>
                </c:pt>
                <c:pt idx="27">
                  <c:v>1202325</c:v>
                </c:pt>
                <c:pt idx="28">
                  <c:v>751298</c:v>
                </c:pt>
                <c:pt idx="29">
                  <c:v>725177</c:v>
                </c:pt>
                <c:pt idx="30">
                  <c:v>718223</c:v>
                </c:pt>
                <c:pt idx="31">
                  <c:v>607296</c:v>
                </c:pt>
                <c:pt idx="32">
                  <c:v>287806</c:v>
                </c:pt>
                <c:pt idx="33">
                  <c:v>233976</c:v>
                </c:pt>
                <c:pt idx="34">
                  <c:v>197166</c:v>
                </c:pt>
                <c:pt idx="35">
                  <c:v>143023</c:v>
                </c:pt>
                <c:pt idx="36">
                  <c:v>11680</c:v>
                </c:pt>
              </c:numCache>
            </c:numRef>
          </c:val>
          <c:extLst>
            <c:ext xmlns:c16="http://schemas.microsoft.com/office/drawing/2014/chart" uri="{C3380CC4-5D6E-409C-BE32-E72D297353CC}">
              <c16:uniqueId val="{00000000-A244-418A-851F-7EDE8ED8F325}"/>
            </c:ext>
          </c:extLst>
        </c:ser>
        <c:dLbls>
          <c:showLegendKey val="0"/>
          <c:showVal val="0"/>
          <c:showCatName val="0"/>
          <c:showSerName val="0"/>
          <c:showPercent val="0"/>
          <c:showBubbleSize val="0"/>
        </c:dLbls>
        <c:gapWidth val="219"/>
        <c:overlap val="-27"/>
        <c:axId val="1078136160"/>
        <c:axId val="1078138080"/>
      </c:barChart>
      <c:catAx>
        <c:axId val="107813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8080"/>
        <c:crosses val="autoZero"/>
        <c:auto val="1"/>
        <c:lblAlgn val="ctr"/>
        <c:lblOffset val="100"/>
        <c:noMultiLvlLbl val="0"/>
      </c:catAx>
      <c:valAx>
        <c:axId val="107813808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3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[Tourism_Excel.xlsx]Sheet2!PivotTable3</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Sheet2!$B$44</c:f>
              <c:strCache>
                <c:ptCount val="1"/>
                <c:pt idx="0">
                  <c:v>Sum of Total_Vistor_Domestic</c:v>
                </c:pt>
              </c:strCache>
            </c:strRef>
          </c:tx>
          <c:spPr>
            <a:solidFill>
              <a:schemeClr val="accent1"/>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Sheet2!$B$45:$B$82</c:f>
              <c:numCache>
                <c:formatCode>0.00%</c:formatCode>
                <c:ptCount val="37"/>
                <c:pt idx="0">
                  <c:v>2.3757086158298092E-4</c:v>
                </c:pt>
                <c:pt idx="1">
                  <c:v>0.10499973463600261</c:v>
                </c:pt>
                <c:pt idx="2">
                  <c:v>2.0411644528252009E-4</c:v>
                </c:pt>
                <c:pt idx="3">
                  <c:v>2.2899889851261861E-3</c:v>
                </c:pt>
                <c:pt idx="4">
                  <c:v>1.3514793652362222E-2</c:v>
                </c:pt>
                <c:pt idx="5">
                  <c:v>6.7585730765692075E-4</c:v>
                </c:pt>
                <c:pt idx="6">
                  <c:v>6.8599485351406014E-3</c:v>
                </c:pt>
                <c:pt idx="7">
                  <c:v>2.4667119946525319E-4</c:v>
                </c:pt>
                <c:pt idx="8">
                  <c:v>4.0762583759582853E-4</c:v>
                </c:pt>
                <c:pt idx="9">
                  <c:v>1.5705370551919121E-2</c:v>
                </c:pt>
                <c:pt idx="10">
                  <c:v>3.54205244513399E-3</c:v>
                </c:pt>
                <c:pt idx="11">
                  <c:v>2.6713460719556527E-2</c:v>
                </c:pt>
                <c:pt idx="12">
                  <c:v>2.2726112412800167E-3</c:v>
                </c:pt>
                <c:pt idx="13">
                  <c:v>6.8208011215283148E-3</c:v>
                </c:pt>
                <c:pt idx="14">
                  <c:v>6.3716190977800066E-3</c:v>
                </c:pt>
                <c:pt idx="15">
                  <c:v>1.3012580095097372E-2</c:v>
                </c:pt>
                <c:pt idx="16">
                  <c:v>0.10414984513226153</c:v>
                </c:pt>
                <c:pt idx="17">
                  <c:v>7.9712210647434889E-3</c:v>
                </c:pt>
                <c:pt idx="18">
                  <c:v>8.4587715644739264E-5</c:v>
                </c:pt>
                <c:pt idx="19">
                  <c:v>3.56285526368229E-6</c:v>
                </c:pt>
                <c:pt idx="20">
                  <c:v>3.827392952842127E-2</c:v>
                </c:pt>
                <c:pt idx="21">
                  <c:v>6.4296217812406048E-2</c:v>
                </c:pt>
                <c:pt idx="22">
                  <c:v>7.4083994072407413E-5</c:v>
                </c:pt>
                <c:pt idx="23">
                  <c:v>4.3324722434749495E-4</c:v>
                </c:pt>
                <c:pt idx="24">
                  <c:v>6.6384311552243239E-5</c:v>
                </c:pt>
                <c:pt idx="25">
                  <c:v>4.6698061218099802E-5</c:v>
                </c:pt>
                <c:pt idx="26">
                  <c:v>6.7969163155177864E-3</c:v>
                </c:pt>
                <c:pt idx="27">
                  <c:v>9.6452872864876197E-4</c:v>
                </c:pt>
                <c:pt idx="28">
                  <c:v>2.1853082936579313E-2</c:v>
                </c:pt>
                <c:pt idx="29">
                  <c:v>2.2964905906346419E-2</c:v>
                </c:pt>
                <c:pt idx="30">
                  <c:v>5.9280802793584104E-4</c:v>
                </c:pt>
                <c:pt idx="31">
                  <c:v>0.21673717814264723</c:v>
                </c:pt>
                <c:pt idx="32">
                  <c:v>4.1959260798010961E-2</c:v>
                </c:pt>
                <c:pt idx="33">
                  <c:v>1.9269361823152223E-4</c:v>
                </c:pt>
                <c:pt idx="34">
                  <c:v>0.21211980946094236</c:v>
                </c:pt>
                <c:pt idx="35">
                  <c:v>1.5207421712283481E-2</c:v>
                </c:pt>
                <c:pt idx="36">
                  <c:v>4.1336813920414849E-2</c:v>
                </c:pt>
              </c:numCache>
            </c:numRef>
          </c:val>
          <c:extLst>
            <c:ext xmlns:c16="http://schemas.microsoft.com/office/drawing/2014/chart" uri="{C3380CC4-5D6E-409C-BE32-E72D297353CC}">
              <c16:uniqueId val="{00000003-8379-4ACB-8DDC-8C22A48EB6B9}"/>
            </c:ext>
          </c:extLst>
        </c:ser>
        <c:ser>
          <c:idx val="1"/>
          <c:order val="1"/>
          <c:tx>
            <c:strRef>
              <c:f>Sheet2!$C$44</c:f>
              <c:strCache>
                <c:ptCount val="1"/>
                <c:pt idx="0">
                  <c:v>Sum of Total_visitor_Foreign</c:v>
                </c:pt>
              </c:strCache>
            </c:strRef>
          </c:tx>
          <c:spPr>
            <a:solidFill>
              <a:schemeClr val="accent2"/>
            </a:solidFill>
            <a:ln>
              <a:noFill/>
            </a:ln>
            <a:effectLst/>
          </c:spPr>
          <c:invertIfNegative val="0"/>
          <c:cat>
            <c:strRef>
              <c:f>Sheet2!$A$45:$A$82</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Sheet2!$C$45:$C$82</c:f>
              <c:numCache>
                <c:formatCode>0.00%</c:formatCode>
                <c:ptCount val="37"/>
                <c:pt idx="0">
                  <c:v>5.6033582825077007E-4</c:v>
                </c:pt>
                <c:pt idx="1">
                  <c:v>9.0187422718276764E-3</c:v>
                </c:pt>
                <c:pt idx="2">
                  <c:v>2.2773200976090603E-4</c:v>
                </c:pt>
                <c:pt idx="3">
                  <c:v>8.8550064300726517E-4</c:v>
                </c:pt>
                <c:pt idx="4">
                  <c:v>3.6319471255313734E-2</c:v>
                </c:pt>
                <c:pt idx="5">
                  <c:v>1.4605848793565962E-3</c:v>
                </c:pt>
                <c:pt idx="6">
                  <c:v>2.3688172515421352E-4</c:v>
                </c:pt>
                <c:pt idx="7">
                  <c:v>4.8936721423695712E-5</c:v>
                </c:pt>
                <c:pt idx="8">
                  <c:v>1.8364230470703608E-4</c:v>
                </c:pt>
                <c:pt idx="9">
                  <c:v>9.4987679636064234E-2</c:v>
                </c:pt>
                <c:pt idx="10">
                  <c:v>3.2137118205121329E-2</c:v>
                </c:pt>
                <c:pt idx="11">
                  <c:v>2.0882449873880375E-2</c:v>
                </c:pt>
                <c:pt idx="12">
                  <c:v>1.698270120593508E-3</c:v>
                </c:pt>
                <c:pt idx="13">
                  <c:v>1.1029968946695392E-2</c:v>
                </c:pt>
                <c:pt idx="14">
                  <c:v>1.6390950490838168E-3</c:v>
                </c:pt>
                <c:pt idx="15">
                  <c:v>4.5757130524837269E-3</c:v>
                </c:pt>
                <c:pt idx="16">
                  <c:v>2.0064029863841606E-2</c:v>
                </c:pt>
                <c:pt idx="17">
                  <c:v>3.9671040515743279E-2</c:v>
                </c:pt>
                <c:pt idx="18">
                  <c:v>1.0310407334702162E-3</c:v>
                </c:pt>
                <c:pt idx="19">
                  <c:v>3.1959204192487724E-5</c:v>
                </c:pt>
                <c:pt idx="20">
                  <c:v>1.1087925784144217E-2</c:v>
                </c:pt>
                <c:pt idx="21">
                  <c:v>0.17602479080393987</c:v>
                </c:pt>
                <c:pt idx="22">
                  <c:v>4.3408012377258061E-4</c:v>
                </c:pt>
                <c:pt idx="23">
                  <c:v>7.2897052612289103E-4</c:v>
                </c:pt>
                <c:pt idx="24">
                  <c:v>6.5162562319476177E-5</c:v>
                </c:pt>
                <c:pt idx="25">
                  <c:v>1.5798162980795835E-4</c:v>
                </c:pt>
                <c:pt idx="26">
                  <c:v>3.2486414422232407E-3</c:v>
                </c:pt>
                <c:pt idx="27">
                  <c:v>6.272583499900921E-3</c:v>
                </c:pt>
                <c:pt idx="28">
                  <c:v>3.7854860889982189E-2</c:v>
                </c:pt>
                <c:pt idx="29">
                  <c:v>5.3188021337758372E-2</c:v>
                </c:pt>
                <c:pt idx="30">
                  <c:v>3.9741127854053485E-3</c:v>
                </c:pt>
                <c:pt idx="31">
                  <c:v>0.20981230512305007</c:v>
                </c:pt>
                <c:pt idx="32">
                  <c:v>9.5908716425825678E-3</c:v>
                </c:pt>
                <c:pt idx="33">
                  <c:v>4.8284059005555538E-3</c:v>
                </c:pt>
                <c:pt idx="34">
                  <c:v>0.14608733675501584</c:v>
                </c:pt>
                <c:pt idx="35">
                  <c:v>5.0183985743032702E-3</c:v>
                </c:pt>
                <c:pt idx="36">
                  <c:v>5.4935357779143754E-2</c:v>
                </c:pt>
              </c:numCache>
            </c:numRef>
          </c:val>
          <c:extLst>
            <c:ext xmlns:c16="http://schemas.microsoft.com/office/drawing/2014/chart" uri="{C3380CC4-5D6E-409C-BE32-E72D297353CC}">
              <c16:uniqueId val="{00000004-8379-4ACB-8DDC-8C22A48EB6B9}"/>
            </c:ext>
          </c:extLst>
        </c:ser>
        <c:dLbls>
          <c:showLegendKey val="0"/>
          <c:showVal val="0"/>
          <c:showCatName val="0"/>
          <c:showSerName val="0"/>
          <c:showPercent val="0"/>
          <c:showBubbleSize val="0"/>
        </c:dLbls>
        <c:gapWidth val="150"/>
        <c:overlap val="100"/>
        <c:axId val="1245703744"/>
        <c:axId val="1245706144"/>
      </c:barChart>
      <c:catAx>
        <c:axId val="12457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6144"/>
        <c:crosses val="autoZero"/>
        <c:auto val="1"/>
        <c:lblAlgn val="ctr"/>
        <c:lblOffset val="100"/>
        <c:noMultiLvlLbl val="0"/>
      </c:catAx>
      <c:valAx>
        <c:axId val="124570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[Tourism_Excel.xlsx]Sheet2!PivotTable5</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Sheet2!$B$92</c:f>
              <c:strCache>
                <c:ptCount val="1"/>
                <c:pt idx="0">
                  <c:v>Sum of Growth rate - DTV  2020/19</c:v>
                </c:pt>
              </c:strCache>
            </c:strRef>
          </c:tx>
          <c:spPr>
            <a:ln w="28575" cap="rnd">
              <a:solidFill>
                <a:schemeClr val="accent1"/>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Sheet2!$B$93:$B$130</c:f>
              <c:numCache>
                <c:formatCode>General</c:formatCode>
                <c:ptCount val="37"/>
                <c:pt idx="0">
                  <c:v>-62.17</c:v>
                </c:pt>
                <c:pt idx="1">
                  <c:v>-70.12</c:v>
                </c:pt>
                <c:pt idx="2">
                  <c:v>-92.28</c:v>
                </c:pt>
                <c:pt idx="3">
                  <c:v>-76.739999999999995</c:v>
                </c:pt>
                <c:pt idx="4">
                  <c:v>-83.41</c:v>
                </c:pt>
                <c:pt idx="5">
                  <c:v>-73.27</c:v>
                </c:pt>
                <c:pt idx="6">
                  <c:v>-83.76</c:v>
                </c:pt>
                <c:pt idx="7">
                  <c:v>-83.03</c:v>
                </c:pt>
                <c:pt idx="8">
                  <c:v>-66.87</c:v>
                </c:pt>
                <c:pt idx="9">
                  <c:v>-73.7</c:v>
                </c:pt>
                <c:pt idx="10">
                  <c:v>-54.28</c:v>
                </c:pt>
                <c:pt idx="11">
                  <c:v>-66.930000000000007</c:v>
                </c:pt>
                <c:pt idx="12">
                  <c:v>-53.51</c:v>
                </c:pt>
                <c:pt idx="13">
                  <c:v>-81.16</c:v>
                </c:pt>
                <c:pt idx="14">
                  <c:v>-84.41</c:v>
                </c:pt>
                <c:pt idx="15">
                  <c:v>-92.76</c:v>
                </c:pt>
                <c:pt idx="16">
                  <c:v>-66.02</c:v>
                </c:pt>
                <c:pt idx="17">
                  <c:v>-72.86</c:v>
                </c:pt>
                <c:pt idx="18">
                  <c:v>-97.21</c:v>
                </c:pt>
                <c:pt idx="19">
                  <c:v>-50.44</c:v>
                </c:pt>
                <c:pt idx="20">
                  <c:v>-73.489999999999995</c:v>
                </c:pt>
                <c:pt idx="21">
                  <c:v>-73.72</c:v>
                </c:pt>
                <c:pt idx="22">
                  <c:v>-70.36</c:v>
                </c:pt>
                <c:pt idx="23">
                  <c:v>-98.01</c:v>
                </c:pt>
                <c:pt idx="24">
                  <c:v>-81.14</c:v>
                </c:pt>
                <c:pt idx="25">
                  <c:v>-91.28</c:v>
                </c:pt>
                <c:pt idx="26">
                  <c:v>-69.8</c:v>
                </c:pt>
                <c:pt idx="27">
                  <c:v>-34.92</c:v>
                </c:pt>
                <c:pt idx="28">
                  <c:v>-64.77</c:v>
                </c:pt>
                <c:pt idx="29">
                  <c:v>-71.05</c:v>
                </c:pt>
                <c:pt idx="30">
                  <c:v>-77.75</c:v>
                </c:pt>
                <c:pt idx="31">
                  <c:v>-71.58</c:v>
                </c:pt>
                <c:pt idx="32">
                  <c:v>-51.83</c:v>
                </c:pt>
                <c:pt idx="33">
                  <c:v>-70.77</c:v>
                </c:pt>
                <c:pt idx="34">
                  <c:v>-83.93</c:v>
                </c:pt>
                <c:pt idx="35">
                  <c:v>-81.36</c:v>
                </c:pt>
                <c:pt idx="36">
                  <c:v>-68.77</c:v>
                </c:pt>
              </c:numCache>
            </c:numRef>
          </c:val>
          <c:smooth val="0"/>
          <c:extLst>
            <c:ext xmlns:c16="http://schemas.microsoft.com/office/drawing/2014/chart" uri="{C3380CC4-5D6E-409C-BE32-E72D297353CC}">
              <c16:uniqueId val="{00000000-67A5-41ED-9136-EB328F4E97FF}"/>
            </c:ext>
          </c:extLst>
        </c:ser>
        <c:ser>
          <c:idx val="1"/>
          <c:order val="1"/>
          <c:tx>
            <c:strRef>
              <c:f>Sheet2!$C$92</c:f>
              <c:strCache>
                <c:ptCount val="1"/>
                <c:pt idx="0">
                  <c:v>Sum of Growth rate - FTV 2020/19</c:v>
                </c:pt>
              </c:strCache>
            </c:strRef>
          </c:tx>
          <c:spPr>
            <a:ln w="28575" cap="rnd">
              <a:solidFill>
                <a:schemeClr val="accent2"/>
              </a:solidFill>
              <a:round/>
            </a:ln>
            <a:effectLst/>
          </c:spPr>
          <c:marker>
            <c:symbol val="none"/>
          </c:marker>
          <c:cat>
            <c:strRef>
              <c:f>Sheet2!$A$93:$A$130</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Sheet2!$C$93:$C$130</c:f>
              <c:numCache>
                <c:formatCode>General</c:formatCode>
                <c:ptCount val="37"/>
                <c:pt idx="0">
                  <c:v>-66.599999999999994</c:v>
                </c:pt>
                <c:pt idx="1">
                  <c:v>-75.89</c:v>
                </c:pt>
                <c:pt idx="2">
                  <c:v>-87.72</c:v>
                </c:pt>
                <c:pt idx="3">
                  <c:v>-72.900000000000006</c:v>
                </c:pt>
                <c:pt idx="4">
                  <c:v>-71.819999999999993</c:v>
                </c:pt>
                <c:pt idx="5">
                  <c:v>-72.31</c:v>
                </c:pt>
                <c:pt idx="6">
                  <c:v>-65.94</c:v>
                </c:pt>
                <c:pt idx="7">
                  <c:v>-86.67</c:v>
                </c:pt>
                <c:pt idx="8">
                  <c:v>-75.77</c:v>
                </c:pt>
                <c:pt idx="9">
                  <c:v>-77.2</c:v>
                </c:pt>
                <c:pt idx="10">
                  <c:v>-67.69</c:v>
                </c:pt>
                <c:pt idx="11">
                  <c:v>-64.73</c:v>
                </c:pt>
                <c:pt idx="12">
                  <c:v>-63.63</c:v>
                </c:pt>
                <c:pt idx="13">
                  <c:v>-88.86</c:v>
                </c:pt>
                <c:pt idx="14">
                  <c:v>-90.82</c:v>
                </c:pt>
                <c:pt idx="15">
                  <c:v>-99.72</c:v>
                </c:pt>
                <c:pt idx="16">
                  <c:v>-72.84</c:v>
                </c:pt>
                <c:pt idx="17">
                  <c:v>-71.36</c:v>
                </c:pt>
                <c:pt idx="18">
                  <c:v>-97.09</c:v>
                </c:pt>
                <c:pt idx="19">
                  <c:v>-49.63</c:v>
                </c:pt>
                <c:pt idx="20">
                  <c:v>-69.56</c:v>
                </c:pt>
                <c:pt idx="21">
                  <c:v>-77.2</c:v>
                </c:pt>
                <c:pt idx="22">
                  <c:v>-76.930000000000007</c:v>
                </c:pt>
                <c:pt idx="23">
                  <c:v>-91.05</c:v>
                </c:pt>
                <c:pt idx="24">
                  <c:v>-88.22</c:v>
                </c:pt>
                <c:pt idx="25">
                  <c:v>-90.71</c:v>
                </c:pt>
                <c:pt idx="26">
                  <c:v>-91.14</c:v>
                </c:pt>
                <c:pt idx="27">
                  <c:v>-38.58</c:v>
                </c:pt>
                <c:pt idx="28">
                  <c:v>-67.39</c:v>
                </c:pt>
                <c:pt idx="29">
                  <c:v>-72.19</c:v>
                </c:pt>
                <c:pt idx="30">
                  <c:v>-85.05</c:v>
                </c:pt>
                <c:pt idx="31">
                  <c:v>-82.11</c:v>
                </c:pt>
                <c:pt idx="32">
                  <c:v>-85.56</c:v>
                </c:pt>
                <c:pt idx="33">
                  <c:v>-79.349999999999994</c:v>
                </c:pt>
                <c:pt idx="34">
                  <c:v>-81.22</c:v>
                </c:pt>
                <c:pt idx="35">
                  <c:v>-72.849999999999994</c:v>
                </c:pt>
                <c:pt idx="36">
                  <c:v>-72.03</c:v>
                </c:pt>
              </c:numCache>
            </c:numRef>
          </c:val>
          <c:smooth val="0"/>
          <c:extLst>
            <c:ext xmlns:c16="http://schemas.microsoft.com/office/drawing/2014/chart" uri="{C3380CC4-5D6E-409C-BE32-E72D297353CC}">
              <c16:uniqueId val="{00000001-67A5-41ED-9136-EB328F4E97FF}"/>
            </c:ext>
          </c:extLst>
        </c:ser>
        <c:dLbls>
          <c:showLegendKey val="0"/>
          <c:showVal val="0"/>
          <c:showCatName val="0"/>
          <c:showSerName val="0"/>
          <c:showPercent val="0"/>
          <c:showBubbleSize val="0"/>
        </c:dLbls>
        <c:smooth val="0"/>
        <c:axId val="2111452480"/>
        <c:axId val="2111452960"/>
      </c:lineChart>
      <c:catAx>
        <c:axId val="21114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960"/>
        <c:crosses val="autoZero"/>
        <c:auto val="1"/>
        <c:lblAlgn val="ctr"/>
        <c:lblOffset val="100"/>
        <c:noMultiLvlLbl val="0"/>
      </c:catAx>
      <c:valAx>
        <c:axId val="211145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[Tourism_Excel.xlsx]Sheet2!PivotTable2</c:name>
    <c:fmtId val="1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Sheet2!$B$3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B87-4EAB-A11B-2FD98FFF3A7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3B87-4EAB-A11B-2FD98FFF3A7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3B87-4EAB-A11B-2FD98FFF3A7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3B87-4EAB-A11B-2FD98FFF3A7A}"/>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3B87-4EAB-A11B-2FD98FFF3A7A}"/>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3B87-4EAB-A11B-2FD98FFF3A7A}"/>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3B87-4EAB-A11B-2FD98FFF3A7A}"/>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3B87-4EAB-A11B-2FD98FFF3A7A}"/>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3B87-4EAB-A11B-2FD98FFF3A7A}"/>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3B87-4EAB-A11B-2FD98FFF3A7A}"/>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3B87-4EAB-A11B-2FD98FFF3A7A}"/>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3B87-4EAB-A11B-2FD98FFF3A7A}"/>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3B87-4EAB-A11B-2FD98FFF3A7A}"/>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3B87-4EAB-A11B-2FD98FFF3A7A}"/>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3B87-4EAB-A11B-2FD98FFF3A7A}"/>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3B87-4EAB-A11B-2FD98FFF3A7A}"/>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3B87-4EAB-A11B-2FD98FFF3A7A}"/>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3B87-4EAB-A11B-2FD98FFF3A7A}"/>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3B87-4EAB-A11B-2FD98FFF3A7A}"/>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3B87-4EAB-A11B-2FD98FFF3A7A}"/>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3B87-4EAB-A11B-2FD98FFF3A7A}"/>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3B87-4EAB-A11B-2FD98FFF3A7A}"/>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3B87-4EAB-A11B-2FD98FFF3A7A}"/>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3B87-4EAB-A11B-2FD98FFF3A7A}"/>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3B87-4EAB-A11B-2FD98FFF3A7A}"/>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3B87-4EAB-A11B-2FD98FFF3A7A}"/>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3B87-4EAB-A11B-2FD98FFF3A7A}"/>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3B87-4EAB-A11B-2FD98FFF3A7A}"/>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3B87-4EAB-A11B-2FD98FFF3A7A}"/>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3B87-4EAB-A11B-2FD98FFF3A7A}"/>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3B87-4EAB-A11B-2FD98FFF3A7A}"/>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3B87-4EAB-A11B-2FD98FFF3A7A}"/>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3B87-4EAB-A11B-2FD98FFF3A7A}"/>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3B87-4EAB-A11B-2FD98FFF3A7A}"/>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45-3B87-4EAB-A11B-2FD98FFF3A7A}"/>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47-3B87-4EAB-A11B-2FD98FFF3A7A}"/>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49-3B87-4EAB-A11B-2FD98FFF3A7A}"/>
              </c:ext>
            </c:extLst>
          </c:dPt>
          <c:cat>
            <c:strRef>
              <c:f>Sheet2!$A$4:$A$41</c:f>
              <c:strCache>
                <c:ptCount val="37"/>
                <c:pt idx="0">
                  <c:v>A&amp;N Island</c:v>
                </c:pt>
                <c:pt idx="1">
                  <c:v>Andhra Pradesh</c:v>
                </c:pt>
                <c:pt idx="2">
                  <c:v>Arunachal Pradesh</c:v>
                </c:pt>
                <c:pt idx="3">
                  <c:v>Assam</c:v>
                </c:pt>
                <c:pt idx="4">
                  <c:v>Bihar</c:v>
                </c:pt>
                <c:pt idx="5">
                  <c:v>Chandigarh</c:v>
                </c:pt>
                <c:pt idx="6">
                  <c:v>Chhattisgarh</c:v>
                </c:pt>
                <c:pt idx="7">
                  <c:v>Dadra &amp; Nagar Haveli</c:v>
                </c:pt>
                <c:pt idx="8">
                  <c:v>Daman &amp; Diu</c:v>
                </c:pt>
                <c:pt idx="9">
                  <c:v>Delhi #</c:v>
                </c:pt>
                <c:pt idx="10">
                  <c:v>Goa</c:v>
                </c:pt>
                <c:pt idx="11">
                  <c:v>Gujarat</c:v>
                </c:pt>
                <c:pt idx="12">
                  <c:v>Haryana</c:v>
                </c:pt>
                <c:pt idx="13">
                  <c:v>Himachal Pradesh</c:v>
                </c:pt>
                <c:pt idx="14">
                  <c:v>J&amp;K</c:v>
                </c:pt>
                <c:pt idx="15">
                  <c:v>Jharkhand</c:v>
                </c:pt>
                <c:pt idx="16">
                  <c:v>Karnataka</c:v>
                </c:pt>
                <c:pt idx="17">
                  <c:v>Kerala</c:v>
                </c:pt>
                <c:pt idx="18">
                  <c:v>Ladakh</c:v>
                </c:pt>
                <c:pt idx="19">
                  <c:v>Lakshdweep</c:v>
                </c:pt>
                <c:pt idx="20">
                  <c:v>Madhya Pradesh</c:v>
                </c:pt>
                <c:pt idx="21">
                  <c:v>Maharashtra #</c:v>
                </c:pt>
                <c:pt idx="22">
                  <c:v>Manipur</c:v>
                </c:pt>
                <c:pt idx="23">
                  <c:v>Meghalaya</c:v>
                </c:pt>
                <c:pt idx="24">
                  <c:v>Mizoram</c:v>
                </c:pt>
                <c:pt idx="25">
                  <c:v>Nagaland</c:v>
                </c:pt>
                <c:pt idx="26">
                  <c:v>Odisha</c:v>
                </c:pt>
                <c:pt idx="27">
                  <c:v>Puducherry</c:v>
                </c:pt>
                <c:pt idx="28">
                  <c:v>Punjab</c:v>
                </c:pt>
                <c:pt idx="29">
                  <c:v>Rajasthan</c:v>
                </c:pt>
                <c:pt idx="30">
                  <c:v>Sikkim</c:v>
                </c:pt>
                <c:pt idx="31">
                  <c:v>Tamil Nadu</c:v>
                </c:pt>
                <c:pt idx="32">
                  <c:v>Telengana</c:v>
                </c:pt>
                <c:pt idx="33">
                  <c:v>Tripura</c:v>
                </c:pt>
                <c:pt idx="34">
                  <c:v>Uttar Pradesh</c:v>
                </c:pt>
                <c:pt idx="35">
                  <c:v>Uttarakhand</c:v>
                </c:pt>
                <c:pt idx="36">
                  <c:v>West Bengal</c:v>
                </c:pt>
              </c:strCache>
            </c:strRef>
          </c:cat>
          <c:val>
            <c:numRef>
              <c:f>Sheet2!$B$4:$B$41</c:f>
              <c:numCache>
                <c:formatCode>0.00%</c:formatCode>
                <c:ptCount val="37"/>
                <c:pt idx="0">
                  <c:v>2.4176249338997085E-4</c:v>
                </c:pt>
                <c:pt idx="1">
                  <c:v>0.10375326422561813</c:v>
                </c:pt>
                <c:pt idx="2">
                  <c:v>2.0442313207145375E-4</c:v>
                </c:pt>
                <c:pt idx="3">
                  <c:v>2.2717494033396299E-3</c:v>
                </c:pt>
                <c:pt idx="4">
                  <c:v>1.3810949746920863E-2</c:v>
                </c:pt>
                <c:pt idx="5">
                  <c:v>6.8604828062191381E-4</c:v>
                </c:pt>
                <c:pt idx="6">
                  <c:v>6.773937163500221E-3</c:v>
                </c:pt>
                <c:pt idx="7">
                  <c:v>2.4410329336300686E-4</c:v>
                </c:pt>
                <c:pt idx="8">
                  <c:v>4.0471704451834135E-4</c:v>
                </c:pt>
                <c:pt idx="9">
                  <c:v>1.6734981206134751E-2</c:v>
                </c:pt>
                <c:pt idx="10">
                  <c:v>3.9134062150302717E-3</c:v>
                </c:pt>
                <c:pt idx="11">
                  <c:v>2.6637735492063681E-2</c:v>
                </c:pt>
                <c:pt idx="12">
                  <c:v>2.2651524810112489E-3</c:v>
                </c:pt>
                <c:pt idx="13">
                  <c:v>6.8754640606913759E-3</c:v>
                </c:pt>
                <c:pt idx="14">
                  <c:v>6.3101595207551023E-3</c:v>
                </c:pt>
                <c:pt idx="15">
                  <c:v>1.2903013556286598E-2</c:v>
                </c:pt>
                <c:pt idx="16">
                  <c:v>0.1030578530817161</c:v>
                </c:pt>
                <c:pt idx="17">
                  <c:v>8.382895147152224E-3</c:v>
                </c:pt>
                <c:pt idx="18">
                  <c:v>9.6878958446880634E-5</c:v>
                </c:pt>
                <c:pt idx="19">
                  <c:v>3.9316283700116255E-6</c:v>
                </c:pt>
                <c:pt idx="20">
                  <c:v>3.7920874736955171E-2</c:v>
                </c:pt>
                <c:pt idx="21">
                  <c:v>6.5747196353032292E-2</c:v>
                </c:pt>
                <c:pt idx="22">
                  <c:v>7.8759133518993153E-5</c:v>
                </c:pt>
                <c:pt idx="23">
                  <c:v>4.3708767583944909E-4</c:v>
                </c:pt>
                <c:pt idx="24">
                  <c:v>6.6368445137132882E-5</c:v>
                </c:pt>
                <c:pt idx="25">
                  <c:v>4.814326064761752E-5</c:v>
                </c:pt>
                <c:pt idx="26">
                  <c:v>6.7508361539302588E-3</c:v>
                </c:pt>
                <c:pt idx="27">
                  <c:v>1.0334625148713716E-3</c:v>
                </c:pt>
                <c:pt idx="28">
                  <c:v>2.2060892235495295E-2</c:v>
                </c:pt>
                <c:pt idx="29">
                  <c:v>2.3357402568101614E-2</c:v>
                </c:pt>
                <c:pt idx="30">
                  <c:v>6.3671980905898712E-4</c:v>
                </c:pt>
                <c:pt idx="31">
                  <c:v>0.21664724732299237</c:v>
                </c:pt>
                <c:pt idx="32">
                  <c:v>4.153890424281962E-2</c:v>
                </c:pt>
                <c:pt idx="33">
                  <c:v>2.5289593588467412E-4</c:v>
                </c:pt>
                <c:pt idx="34">
                  <c:v>0.21126226963638872</c:v>
                </c:pt>
                <c:pt idx="35">
                  <c:v>1.5075100556402666E-2</c:v>
                </c:pt>
                <c:pt idx="36">
                  <c:v>4.1513413287921991E-2</c:v>
                </c:pt>
              </c:numCache>
            </c:numRef>
          </c:val>
          <c:extLst>
            <c:ext xmlns:c16="http://schemas.microsoft.com/office/drawing/2014/chart" uri="{C3380CC4-5D6E-409C-BE32-E72D297353CC}">
              <c16:uniqueId val="{0000004A-8A24-465E-8317-0674D6E816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15</xdr:col>
      <xdr:colOff>439102</xdr:colOff>
      <xdr:row>32</xdr:row>
      <xdr:rowOff>102870</xdr:rowOff>
    </xdr:from>
    <xdr:to>
      <xdr:col>24</xdr:col>
      <xdr:colOff>40957</xdr:colOff>
      <xdr:row>48</xdr:row>
      <xdr:rowOff>95250</xdr:rowOff>
    </xdr:to>
    <xdr:graphicFrame macro="">
      <xdr:nvGraphicFramePr>
        <xdr:cNvPr id="2" name="Chart 1">
          <a:extLst>
            <a:ext uri="{FF2B5EF4-FFF2-40B4-BE49-F238E27FC236}">
              <a16:creationId xmlns:a16="http://schemas.microsoft.com/office/drawing/2014/main" id="{10A4E6AA-CBAF-4E34-B368-5CDA3157E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9</xdr:row>
      <xdr:rowOff>0</xdr:rowOff>
    </xdr:from>
    <xdr:to>
      <xdr:col>11</xdr:col>
      <xdr:colOff>120015</xdr:colOff>
      <xdr:row>24</xdr:row>
      <xdr:rowOff>169545</xdr:rowOff>
    </xdr:to>
    <xdr:graphicFrame macro="">
      <xdr:nvGraphicFramePr>
        <xdr:cNvPr id="3" name="Chart 2">
          <a:extLst>
            <a:ext uri="{FF2B5EF4-FFF2-40B4-BE49-F238E27FC236}">
              <a16:creationId xmlns:a16="http://schemas.microsoft.com/office/drawing/2014/main" id="{27C07A1A-9DF6-468A-AAE7-D63D6A5DA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476250</xdr:colOff>
      <xdr:row>8</xdr:row>
      <xdr:rowOff>72390</xdr:rowOff>
    </xdr:from>
    <xdr:to>
      <xdr:col>21</xdr:col>
      <xdr:colOff>83820</xdr:colOff>
      <xdr:row>24</xdr:row>
      <xdr:rowOff>57150</xdr:rowOff>
    </xdr:to>
    <xdr:graphicFrame macro="">
      <xdr:nvGraphicFramePr>
        <xdr:cNvPr id="4" name="Chart 3">
          <a:extLst>
            <a:ext uri="{FF2B5EF4-FFF2-40B4-BE49-F238E27FC236}">
              <a16:creationId xmlns:a16="http://schemas.microsoft.com/office/drawing/2014/main" id="{5F8ACE63-4E82-4F39-9B34-AE4A535EC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415290</xdr:colOff>
      <xdr:row>28</xdr:row>
      <xdr:rowOff>154305</xdr:rowOff>
    </xdr:from>
    <xdr:to>
      <xdr:col>13</xdr:col>
      <xdr:colOff>212408</xdr:colOff>
      <xdr:row>49</xdr:row>
      <xdr:rowOff>126683</xdr:rowOff>
    </xdr:to>
    <xdr:graphicFrame macro="">
      <xdr:nvGraphicFramePr>
        <xdr:cNvPr id="5" name="Chart 4">
          <a:extLst>
            <a:ext uri="{FF2B5EF4-FFF2-40B4-BE49-F238E27FC236}">
              <a16:creationId xmlns:a16="http://schemas.microsoft.com/office/drawing/2014/main" id="{C003A7AA-034D-436C-BE8C-4692653A2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1165859</xdr:colOff>
      <xdr:row>175</xdr:row>
      <xdr:rowOff>126682</xdr:rowOff>
    </xdr:from>
    <xdr:to>
      <xdr:col>7</xdr:col>
      <xdr:colOff>535304</xdr:colOff>
      <xdr:row>190</xdr:row>
      <xdr:rowOff>155257</xdr:rowOff>
    </xdr:to>
    <xdr:graphicFrame macro="">
      <xdr:nvGraphicFramePr>
        <xdr:cNvPr id="2" name="Chart 1">
          <a:extLst>
            <a:ext uri="{FF2B5EF4-FFF2-40B4-BE49-F238E27FC236}">
              <a16:creationId xmlns:a16="http://schemas.microsoft.com/office/drawing/2014/main" id="{3CC698D9-AB51-6D3D-690D-9F452D839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631507</xdr:colOff>
      <xdr:row>5</xdr:row>
      <xdr:rowOff>16192</xdr:rowOff>
    </xdr:from>
    <xdr:to>
      <xdr:col>6</xdr:col>
      <xdr:colOff>486727</xdr:colOff>
      <xdr:row>20</xdr:row>
      <xdr:rowOff>39052</xdr:rowOff>
    </xdr:to>
    <xdr:graphicFrame macro="">
      <xdr:nvGraphicFramePr>
        <xdr:cNvPr id="3" name="Chart 2">
          <a:extLst>
            <a:ext uri="{FF2B5EF4-FFF2-40B4-BE49-F238E27FC236}">
              <a16:creationId xmlns:a16="http://schemas.microsoft.com/office/drawing/2014/main" id="{C67B3C5A-2561-1027-725F-861739B77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332422</xdr:colOff>
      <xdr:row>43</xdr:row>
      <xdr:rowOff>2857</xdr:rowOff>
    </xdr:from>
    <xdr:to>
      <xdr:col>8</xdr:col>
      <xdr:colOff>296227</xdr:colOff>
      <xdr:row>58</xdr:row>
      <xdr:rowOff>29527</xdr:rowOff>
    </xdr:to>
    <xdr:graphicFrame macro="">
      <xdr:nvGraphicFramePr>
        <xdr:cNvPr id="4" name="Chart 3">
          <a:extLst>
            <a:ext uri="{FF2B5EF4-FFF2-40B4-BE49-F238E27FC236}">
              <a16:creationId xmlns:a16="http://schemas.microsoft.com/office/drawing/2014/main" id="{4F90C26B-65C3-997A-EA8C-5AE6ABCB8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961072</xdr:colOff>
      <xdr:row>104</xdr:row>
      <xdr:rowOff>140017</xdr:rowOff>
    </xdr:from>
    <xdr:to>
      <xdr:col>14</xdr:col>
      <xdr:colOff>180975</xdr:colOff>
      <xdr:row>124</xdr:row>
      <xdr:rowOff>85725</xdr:rowOff>
    </xdr:to>
    <xdr:graphicFrame macro="">
      <xdr:nvGraphicFramePr>
        <xdr:cNvPr id="5" name="Chart 4">
          <a:extLst>
            <a:ext uri="{FF2B5EF4-FFF2-40B4-BE49-F238E27FC236}">
              <a16:creationId xmlns:a16="http://schemas.microsoft.com/office/drawing/2014/main" id="{D20796AB-06D8-741C-B48A-B13FD2322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510540</xdr:colOff>
      <xdr:row>24</xdr:row>
      <xdr:rowOff>91440</xdr:rowOff>
    </xdr:from>
    <xdr:to>
      <xdr:col>4</xdr:col>
      <xdr:colOff>1007562</xdr:colOff>
      <xdr:row>31</xdr:row>
      <xdr:rowOff>154305</xdr:rowOff>
    </xdr:to>
    <mc:AlternateContent xmlns:mc="http://schemas.openxmlformats.org/markup-compatibility/2006" xmlns:a14="http://schemas.microsoft.com/office/drawing/2010/main">
      <mc:Choice Requires="a14">
        <xdr:graphicFrame macro="">
          <xdr:nvGraphicFramePr>
            <xdr:cNvPr id="6" name="Tourism Zone">
              <a:extLst>
                <a:ext uri="{FF2B5EF4-FFF2-40B4-BE49-F238E27FC236}">
                  <a16:creationId xmlns:a16="http://schemas.microsoft.com/office/drawing/2014/main" id="{CB5B75EC-4B0F-0C22-3A73-633770149EAC}"/>
                </a:ext>
              </a:extLst>
            </xdr:cNvPr>
            <xdr:cNvGraphicFramePr/>
          </xdr:nvGraphicFramePr>
          <xdr:xfrm>
            <a:off x="0" y="0"/>
            <a:ext cx="0" cy="0"/>
          </xdr:xfrm>
          <a:graphic>
            <a:graphicData uri="http://schemas.microsoft.com/office/drawing/2010/slicer">
              <sle:slicer xmlns:sle="http://schemas.microsoft.com/office/drawing/2010/slicer" name="Tourism Zone"/>
            </a:graphicData>
          </a:graphic>
        </xdr:graphicFrame>
      </mc:Choice>
      <mc:Fallback xmlns="">
        <xdr:sp macro="" textlink="">
          <xdr:nvSpPr>
            <xdr:cNvPr id="0" name=""/>
            <xdr:cNvSpPr>
              <a:spLocks noTextEdit="1"/>
            </xdr:cNvSpPr>
          </xdr:nvSpPr>
          <xdr:spPr>
            <a:xfrm>
              <a:off x="4419600" y="4438650"/>
              <a:ext cx="182118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44</xdr:row>
      <xdr:rowOff>0</xdr:rowOff>
    </xdr:from>
    <xdr:to>
      <xdr:col>16</xdr:col>
      <xdr:colOff>592586</xdr:colOff>
      <xdr:row>57</xdr:row>
      <xdr:rowOff>129763</xdr:rowOff>
    </xdr:to>
    <mc:AlternateContent xmlns:mc="http://schemas.openxmlformats.org/markup-compatibility/2006" xmlns:a14="http://schemas.microsoft.com/office/drawing/2010/main">
      <mc:Choice Requires="a14">
        <xdr:graphicFrame macro="">
          <xdr:nvGraphicFramePr>
            <xdr:cNvPr id="9" name="States/UTs *">
              <a:extLst>
                <a:ext uri="{FF2B5EF4-FFF2-40B4-BE49-F238E27FC236}">
                  <a16:creationId xmlns:a16="http://schemas.microsoft.com/office/drawing/2014/main" id="{5F99A625-9ADE-4A2B-9BAE-ABE3D9C3C1A2}"/>
                </a:ext>
              </a:extLst>
            </xdr:cNvPr>
            <xdr:cNvGraphicFramePr/>
          </xdr:nvGraphicFramePr>
          <xdr:xfrm>
            <a:off x="0" y="0"/>
            <a:ext cx="0" cy="0"/>
          </xdr:xfrm>
          <a:graphic>
            <a:graphicData uri="http://schemas.microsoft.com/office/drawing/2010/slicer">
              <sle:slicer xmlns:sle="http://schemas.microsoft.com/office/drawing/2010/slicer" name="States/UTs *"/>
            </a:graphicData>
          </a:graphic>
        </xdr:graphicFrame>
      </mc:Choice>
      <mc:Fallback xmlns="">
        <xdr:sp macro="" textlink="">
          <xdr:nvSpPr>
            <xdr:cNvPr id="0" name=""/>
            <xdr:cNvSpPr>
              <a:spLocks noTextEdit="1"/>
            </xdr:cNvSpPr>
          </xdr:nvSpPr>
          <xdr:spPr>
            <a:xfrm>
              <a:off x="14735735" y="7888941"/>
              <a:ext cx="1799012" cy="2464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15241</xdr:colOff>
      <xdr:row>2</xdr:row>
      <xdr:rowOff>96482</xdr:rowOff>
    </xdr:from>
    <xdr:to>
      <xdr:col>26</xdr:col>
      <xdr:colOff>18602</xdr:colOff>
      <xdr:row>45</xdr:row>
      <xdr:rowOff>112059</xdr:rowOff>
    </xdr:to>
    <xdr:grpSp>
      <xdr:nvGrpSpPr>
        <xdr:cNvPr id="20" name="Group 19">
          <a:extLst>
            <a:ext uri="{FF2B5EF4-FFF2-40B4-BE49-F238E27FC236}">
              <a16:creationId xmlns:a16="http://schemas.microsoft.com/office/drawing/2014/main" id="{D3E799D6-82F4-A56E-716F-A9EC6202DCCD}"/>
            </a:ext>
          </a:extLst>
        </xdr:cNvPr>
        <xdr:cNvGrpSpPr/>
      </xdr:nvGrpSpPr>
      <xdr:grpSpPr>
        <a:xfrm>
          <a:off x="624169" y="451260"/>
          <a:ext cx="15131302" cy="7729034"/>
          <a:chOff x="620359" y="455070"/>
          <a:chExt cx="9556824" cy="6396205"/>
        </a:xfrm>
      </xdr:grpSpPr>
      <xdr:sp macro="" textlink="">
        <xdr:nvSpPr>
          <xdr:cNvPr id="2" name="Rectangle 1">
            <a:extLst>
              <a:ext uri="{FF2B5EF4-FFF2-40B4-BE49-F238E27FC236}">
                <a16:creationId xmlns:a16="http://schemas.microsoft.com/office/drawing/2014/main" id="{75B7BAD9-BA2A-420F-8467-D85279D45423}"/>
              </a:ext>
            </a:extLst>
          </xdr:cNvPr>
          <xdr:cNvSpPr/>
        </xdr:nvSpPr>
        <xdr:spPr>
          <a:xfrm>
            <a:off x="620359" y="497653"/>
            <a:ext cx="9556824" cy="6353622"/>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86B21522-6711-4745-887C-E230A77FA5D8}"/>
              </a:ext>
            </a:extLst>
          </xdr:cNvPr>
          <xdr:cNvSpPr/>
        </xdr:nvSpPr>
        <xdr:spPr>
          <a:xfrm>
            <a:off x="2574775" y="528133"/>
            <a:ext cx="5825153" cy="509308"/>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Tourism Analysis Dashboard (India 2019–2020)</a:t>
            </a:r>
          </a:p>
        </xdr:txBody>
      </xdr:sp>
      <xdr:sp macro="" textlink="Sheet2!C173">
        <xdr:nvSpPr>
          <xdr:cNvPr id="4" name="Rectangle 3">
            <a:extLst>
              <a:ext uri="{FF2B5EF4-FFF2-40B4-BE49-F238E27FC236}">
                <a16:creationId xmlns:a16="http://schemas.microsoft.com/office/drawing/2014/main" id="{ED9821D7-A3AF-4FB8-AF7B-E29303F23252}"/>
              </a:ext>
            </a:extLst>
          </xdr:cNvPr>
          <xdr:cNvSpPr/>
        </xdr:nvSpPr>
        <xdr:spPr>
          <a:xfrm>
            <a:off x="2574776" y="1073636"/>
            <a:ext cx="1419785" cy="81074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baseline="0">
                <a:solidFill>
                  <a:schemeClr val="bg1"/>
                </a:solidFill>
                <a:latin typeface="Calibri"/>
                <a:ea typeface="Calibri"/>
                <a:cs typeface="Calibri"/>
              </a:rPr>
              <a:t>Total Domestic</a:t>
            </a:r>
          </a:p>
          <a:p>
            <a:pPr algn="ctr"/>
            <a:fld id="{C51DA216-8619-450B-A9A1-4773B03B86F9}" type="TxLink">
              <a:rPr lang="en-US" sz="1400" b="1" i="0" u="none" strike="noStrike" baseline="0">
                <a:solidFill>
                  <a:schemeClr val="bg1"/>
                </a:solidFill>
                <a:latin typeface="Calibri"/>
                <a:ea typeface="Calibri"/>
                <a:cs typeface="Calibri"/>
              </a:rPr>
              <a:t>2932198.8K</a:t>
            </a:fld>
            <a:endParaRPr lang="en-IN" sz="2800" b="1">
              <a:solidFill>
                <a:schemeClr val="bg1"/>
              </a:solidFill>
            </a:endParaRPr>
          </a:p>
        </xdr:txBody>
      </xdr:sp>
      <xdr:sp macro="" textlink="Sheet2!E173">
        <xdr:nvSpPr>
          <xdr:cNvPr id="5" name="Rectangle 4">
            <a:extLst>
              <a:ext uri="{FF2B5EF4-FFF2-40B4-BE49-F238E27FC236}">
                <a16:creationId xmlns:a16="http://schemas.microsoft.com/office/drawing/2014/main" id="{6D4CE5D5-A14D-4F06-8CD0-9CB969B75617}"/>
              </a:ext>
            </a:extLst>
          </xdr:cNvPr>
          <xdr:cNvSpPr/>
        </xdr:nvSpPr>
        <xdr:spPr>
          <a:xfrm>
            <a:off x="4026946" y="1069826"/>
            <a:ext cx="1410260" cy="82027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bg1"/>
                </a:solidFill>
                <a:effectLst/>
                <a:latin typeface="Calibri"/>
                <a:ea typeface="Calibri"/>
                <a:cs typeface="Calibri"/>
              </a:rPr>
              <a:t>Total_Foreign</a:t>
            </a:r>
          </a:p>
          <a:p>
            <a:pPr marL="0" marR="0" lvl="0" indent="0" algn="ctr" defTabSz="914400" eaLnBrk="1" fontAlgn="auto" latinLnBrk="0" hangingPunct="1">
              <a:lnSpc>
                <a:spcPct val="100000"/>
              </a:lnSpc>
              <a:spcBef>
                <a:spcPts val="0"/>
              </a:spcBef>
              <a:spcAft>
                <a:spcPts val="0"/>
              </a:spcAft>
              <a:buClrTx/>
              <a:buSzTx/>
              <a:buFontTx/>
              <a:buNone/>
              <a:tabLst/>
              <a:defRPr/>
            </a:pPr>
            <a:fld id="{CD445BB4-5F1F-4F26-A25F-773A54A1FA41}" type="TxLink">
              <a:rPr lang="en-US" sz="1400" b="1" i="0" u="none" strike="noStrike">
                <a:solidFill>
                  <a:schemeClr val="bg1"/>
                </a:solidFill>
                <a:effectLst/>
                <a:latin typeface="Calibri"/>
                <a:ea typeface="Calibri"/>
                <a:cs typeface="Calibri"/>
              </a:rPr>
              <a:t>38580.4K</a:t>
            </a:fld>
            <a:endParaRPr lang="en-IN" sz="2800" b="1">
              <a:solidFill>
                <a:schemeClr val="bg1"/>
              </a:solidFill>
            </a:endParaRPr>
          </a:p>
        </xdr:txBody>
      </xdr:sp>
      <xdr:sp macro="" textlink="Sheet2!B174">
        <xdr:nvSpPr>
          <xdr:cNvPr id="6" name="Rectangle 5">
            <a:extLst>
              <a:ext uri="{FF2B5EF4-FFF2-40B4-BE49-F238E27FC236}">
                <a16:creationId xmlns:a16="http://schemas.microsoft.com/office/drawing/2014/main" id="{E09339DE-4662-499B-BAE6-F77FD45DB423}"/>
              </a:ext>
            </a:extLst>
          </xdr:cNvPr>
          <xdr:cNvSpPr/>
        </xdr:nvSpPr>
        <xdr:spPr>
          <a:xfrm>
            <a:off x="5486064" y="1077670"/>
            <a:ext cx="1417880" cy="812426"/>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bg1"/>
                </a:solidFill>
                <a:effectLst/>
                <a:latin typeface="Calibri"/>
                <a:ea typeface="Calibri"/>
                <a:cs typeface="Calibri"/>
              </a:rPr>
              <a:t>Total_Visitor</a:t>
            </a:r>
          </a:p>
          <a:p>
            <a:pPr marL="0" marR="0" lvl="0" indent="0" algn="ctr" defTabSz="914400" eaLnBrk="1" fontAlgn="auto" latinLnBrk="0" hangingPunct="1">
              <a:lnSpc>
                <a:spcPct val="100000"/>
              </a:lnSpc>
              <a:spcBef>
                <a:spcPts val="0"/>
              </a:spcBef>
              <a:spcAft>
                <a:spcPts val="0"/>
              </a:spcAft>
              <a:buClrTx/>
              <a:buSzTx/>
              <a:buFontTx/>
              <a:buNone/>
              <a:tabLst/>
              <a:defRPr/>
            </a:pPr>
            <a:fld id="{D7420485-17E9-4476-A9B2-BA4E25369BC9}" type="TxLink">
              <a:rPr lang="en-US" sz="1400" b="1" i="0" u="none" strike="noStrike">
                <a:solidFill>
                  <a:schemeClr val="bg1"/>
                </a:solidFill>
                <a:effectLst/>
                <a:latin typeface="Calibri"/>
                <a:ea typeface="Calibri"/>
                <a:cs typeface="Calibri"/>
              </a:rPr>
              <a:t>2970779255.0</a:t>
            </a:fld>
            <a:endParaRPr lang="en-IN" sz="2800" b="1">
              <a:solidFill>
                <a:schemeClr val="bg1"/>
              </a:solidFill>
            </a:endParaRPr>
          </a:p>
        </xdr:txBody>
      </xdr:sp>
      <xdr:sp macro="" textlink="Sheet2!E89">
        <xdr:nvSpPr>
          <xdr:cNvPr id="7" name="Rectangle 6">
            <a:extLst>
              <a:ext uri="{FF2B5EF4-FFF2-40B4-BE49-F238E27FC236}">
                <a16:creationId xmlns:a16="http://schemas.microsoft.com/office/drawing/2014/main" id="{8602CF6D-13E1-4006-B12B-2349950EADC9}"/>
              </a:ext>
            </a:extLst>
          </xdr:cNvPr>
          <xdr:cNvSpPr/>
        </xdr:nvSpPr>
        <xdr:spPr>
          <a:xfrm>
            <a:off x="6951569" y="1087195"/>
            <a:ext cx="1431215" cy="80671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bg1"/>
                </a:solidFill>
                <a:effectLst/>
                <a:latin typeface="Calibri"/>
                <a:ea typeface="Calibri"/>
                <a:cs typeface="Calibri"/>
              </a:rPr>
              <a:t>Avg Growth Rate</a:t>
            </a:r>
          </a:p>
          <a:p>
            <a:pPr marL="0" marR="0" lvl="0" indent="0" algn="ctr" defTabSz="914400" eaLnBrk="1" fontAlgn="auto" latinLnBrk="0" hangingPunct="1">
              <a:lnSpc>
                <a:spcPct val="100000"/>
              </a:lnSpc>
              <a:spcBef>
                <a:spcPts val="0"/>
              </a:spcBef>
              <a:spcAft>
                <a:spcPts val="0"/>
              </a:spcAft>
              <a:buClrTx/>
              <a:buSzTx/>
              <a:buFontTx/>
              <a:buNone/>
              <a:tabLst/>
              <a:defRPr/>
            </a:pPr>
            <a:fld id="{34234456-197B-4389-8A0C-A39CEA78766F}" type="TxLink">
              <a:rPr lang="en-US" sz="1400" b="1" i="0" u="none" strike="noStrike">
                <a:solidFill>
                  <a:schemeClr val="bg1"/>
                </a:solidFill>
                <a:effectLst/>
                <a:latin typeface="Calibri"/>
                <a:ea typeface="Calibri"/>
                <a:cs typeface="Calibri"/>
              </a:rPr>
              <a:t>-75.1322973</a:t>
            </a:fld>
            <a:endParaRPr lang="en-IN" sz="2400" b="1">
              <a:solidFill>
                <a:schemeClr val="bg1"/>
              </a:solidFill>
            </a:endParaRPr>
          </a:p>
        </xdr:txBody>
      </xdr:sp>
      <xdr:graphicFrame macro="">
        <xdr:nvGraphicFramePr>
          <xdr:cNvPr id="8" name="Chart 7">
            <a:extLst>
              <a:ext uri="{FF2B5EF4-FFF2-40B4-BE49-F238E27FC236}">
                <a16:creationId xmlns:a16="http://schemas.microsoft.com/office/drawing/2014/main" id="{D81706FE-ADAF-4F18-BCA7-38D7C7EC45B9}"/>
              </a:ext>
            </a:extLst>
          </xdr:cNvPr>
          <xdr:cNvGraphicFramePr>
            <a:graphicFrameLocks/>
          </xdr:cNvGraphicFramePr>
        </xdr:nvGraphicFramePr>
        <xdr:xfrm>
          <a:off x="2550011" y="1928195"/>
          <a:ext cx="3674248" cy="22140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8">
            <a:extLst>
              <a:ext uri="{FF2B5EF4-FFF2-40B4-BE49-F238E27FC236}">
                <a16:creationId xmlns:a16="http://schemas.microsoft.com/office/drawing/2014/main" id="{3540C2CB-86B0-46CB-BFA6-5BA39CE4BFC3}"/>
              </a:ext>
            </a:extLst>
          </xdr:cNvPr>
          <xdr:cNvGraphicFramePr>
            <a:graphicFrameLocks/>
          </xdr:cNvGraphicFramePr>
        </xdr:nvGraphicFramePr>
        <xdr:xfrm>
          <a:off x="6317876" y="1924387"/>
          <a:ext cx="3798346" cy="224890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3FDAB595-DC18-4032-A4EA-BB7A4AE1AD9F}"/>
              </a:ext>
            </a:extLst>
          </xdr:cNvPr>
          <xdr:cNvGraphicFramePr>
            <a:graphicFrameLocks/>
          </xdr:cNvGraphicFramePr>
        </xdr:nvGraphicFramePr>
        <xdr:xfrm>
          <a:off x="2550011" y="4224730"/>
          <a:ext cx="3680235" cy="258844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10DF8D1E-8CA6-4BF6-B00B-FDC651F4112D}"/>
              </a:ext>
            </a:extLst>
          </xdr:cNvPr>
          <xdr:cNvGraphicFramePr>
            <a:graphicFrameLocks/>
          </xdr:cNvGraphicFramePr>
        </xdr:nvGraphicFramePr>
        <xdr:xfrm>
          <a:off x="6304542" y="4253305"/>
          <a:ext cx="3811681" cy="2559872"/>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12" name="Group 11">
            <a:extLst>
              <a:ext uri="{FF2B5EF4-FFF2-40B4-BE49-F238E27FC236}">
                <a16:creationId xmlns:a16="http://schemas.microsoft.com/office/drawing/2014/main" id="{39329399-A498-47EB-95A0-888D3BB884D9}"/>
              </a:ext>
            </a:extLst>
          </xdr:cNvPr>
          <xdr:cNvGrpSpPr/>
        </xdr:nvGrpSpPr>
        <xdr:grpSpPr>
          <a:xfrm>
            <a:off x="643195" y="4630944"/>
            <a:ext cx="1864906" cy="2170579"/>
            <a:chOff x="664822" y="4215766"/>
            <a:chExt cx="1876448" cy="2192655"/>
          </a:xfrm>
        </xdr:grpSpPr>
        <xdr:sp macro="" textlink="Sheet2!C87">
          <xdr:nvSpPr>
            <xdr:cNvPr id="13" name="Rectangle 12">
              <a:extLst>
                <a:ext uri="{FF2B5EF4-FFF2-40B4-BE49-F238E27FC236}">
                  <a16:creationId xmlns:a16="http://schemas.microsoft.com/office/drawing/2014/main" id="{E63C657D-AE9B-A1FA-DAD4-EA2E2B7379E1}"/>
                </a:ext>
              </a:extLst>
            </xdr:cNvPr>
            <xdr:cNvSpPr/>
          </xdr:nvSpPr>
          <xdr:spPr>
            <a:xfrm>
              <a:off x="664845" y="4215766"/>
              <a:ext cx="1876425" cy="6858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ea typeface="Calibri"/>
                  <a:cs typeface="Calibri"/>
                </a:rPr>
                <a:t>High</a:t>
              </a:r>
            </a:p>
            <a:p>
              <a:pPr algn="ctr"/>
              <a:fld id="{98A5702C-D936-4132-926F-AD6F6D8BF102}" type="TxLink">
                <a:rPr lang="en-US" sz="1400" b="1" i="0" u="none" strike="noStrike">
                  <a:solidFill>
                    <a:schemeClr val="bg1"/>
                  </a:solidFill>
                  <a:latin typeface="Calibri"/>
                  <a:ea typeface="Calibri"/>
                  <a:cs typeface="Calibri"/>
                </a:rPr>
                <a:t>112654.5K</a:t>
              </a:fld>
              <a:endParaRPr lang="en-IN" sz="2400" b="1">
                <a:solidFill>
                  <a:schemeClr val="bg1"/>
                </a:solidFill>
              </a:endParaRPr>
            </a:p>
          </xdr:txBody>
        </xdr:sp>
        <xdr:sp macro="" textlink="Sheet2!C89">
          <xdr:nvSpPr>
            <xdr:cNvPr id="14" name="Rectangle 13">
              <a:extLst>
                <a:ext uri="{FF2B5EF4-FFF2-40B4-BE49-F238E27FC236}">
                  <a16:creationId xmlns:a16="http://schemas.microsoft.com/office/drawing/2014/main" id="{FD12C8F1-4163-CC5F-8E6F-944E12F1CEF4}"/>
                </a:ext>
              </a:extLst>
            </xdr:cNvPr>
            <xdr:cNvSpPr/>
          </xdr:nvSpPr>
          <xdr:spPr>
            <a:xfrm>
              <a:off x="664822" y="4977766"/>
              <a:ext cx="1870733" cy="6820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ea typeface="Calibri"/>
                  <a:cs typeface="Calibri"/>
                </a:rPr>
                <a:t>Medium</a:t>
              </a:r>
            </a:p>
            <a:p>
              <a:pPr algn="ctr"/>
              <a:fld id="{8E886197-6DC1-4263-8F42-E663F8BE701B}" type="TxLink">
                <a:rPr lang="en-US" sz="1400" b="1" i="0" u="none" strike="noStrike">
                  <a:solidFill>
                    <a:schemeClr val="bg1"/>
                  </a:solidFill>
                  <a:latin typeface="Calibri"/>
                  <a:ea typeface="Calibri"/>
                  <a:cs typeface="Calibri"/>
                </a:rPr>
                <a:t>287.8K</a:t>
              </a:fld>
              <a:endParaRPr lang="en-US" sz="2400" b="1">
                <a:solidFill>
                  <a:schemeClr val="bg1"/>
                </a:solidFill>
              </a:endParaRPr>
            </a:p>
          </xdr:txBody>
        </xdr:sp>
        <xdr:sp macro="" textlink="Sheet2!C88">
          <xdr:nvSpPr>
            <xdr:cNvPr id="15" name="Rectangle 14">
              <a:extLst>
                <a:ext uri="{FF2B5EF4-FFF2-40B4-BE49-F238E27FC236}">
                  <a16:creationId xmlns:a16="http://schemas.microsoft.com/office/drawing/2014/main" id="{B3E42930-6B36-EB3E-8AC5-FAFCEB505CCE}"/>
                </a:ext>
              </a:extLst>
            </xdr:cNvPr>
            <xdr:cNvSpPr/>
          </xdr:nvSpPr>
          <xdr:spPr>
            <a:xfrm>
              <a:off x="666750" y="5724438"/>
              <a:ext cx="1863113" cy="683983"/>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ea typeface="Calibri"/>
                  <a:cs typeface="Calibri"/>
                </a:rPr>
                <a:t>Low</a:t>
              </a:r>
            </a:p>
            <a:p>
              <a:pPr algn="ctr"/>
              <a:fld id="{20B01D8F-1761-4B0F-BF8D-840CBC0D87E0}" type="TxLink">
                <a:rPr lang="en-US" sz="1400" b="1" i="0" u="none" strike="noStrike">
                  <a:solidFill>
                    <a:schemeClr val="bg1"/>
                  </a:solidFill>
                  <a:latin typeface="Calibri"/>
                  <a:ea typeface="Calibri"/>
                  <a:cs typeface="Calibri"/>
                </a:rPr>
                <a:t>11.7K</a:t>
              </a:fld>
              <a:endParaRPr lang="en-IN" sz="2400" b="1">
                <a:solidFill>
                  <a:schemeClr val="bg1"/>
                </a:solidFill>
              </a:endParaRPr>
            </a:p>
          </xdr:txBody>
        </xdr:sp>
      </xdr:grpSp>
      <xdr:sp macro="" textlink="">
        <xdr:nvSpPr>
          <xdr:cNvPr id="16" name="TextBox 15">
            <a:extLst>
              <a:ext uri="{FF2B5EF4-FFF2-40B4-BE49-F238E27FC236}">
                <a16:creationId xmlns:a16="http://schemas.microsoft.com/office/drawing/2014/main" id="{66FD145E-ACAD-4463-9F8A-37AEDDAAB6B3}"/>
              </a:ext>
            </a:extLst>
          </xdr:cNvPr>
          <xdr:cNvSpPr txBox="1"/>
        </xdr:nvSpPr>
        <xdr:spPr>
          <a:xfrm>
            <a:off x="643218" y="4275213"/>
            <a:ext cx="1868693" cy="285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t>Tourist Zone</a:t>
            </a:r>
          </a:p>
        </xdr:txBody>
      </xdr:sp>
      <mc:AlternateContent xmlns:mc="http://schemas.openxmlformats.org/markup-compatibility/2006" xmlns:a14="http://schemas.microsoft.com/office/drawing/2010/main">
        <mc:Choice Requires="a14">
          <xdr:graphicFrame macro="">
            <xdr:nvGraphicFramePr>
              <xdr:cNvPr id="17" name="Tourism Zone 2">
                <a:extLst>
                  <a:ext uri="{FF2B5EF4-FFF2-40B4-BE49-F238E27FC236}">
                    <a16:creationId xmlns:a16="http://schemas.microsoft.com/office/drawing/2014/main" id="{02989BCF-0CF3-4047-AFD7-8EBB1B19BA4B}"/>
                  </a:ext>
                </a:extLst>
              </xdr:cNvPr>
              <xdr:cNvGraphicFramePr/>
            </xdr:nvGraphicFramePr>
            <xdr:xfrm>
              <a:off x="664173" y="526228"/>
              <a:ext cx="1832498" cy="1304813"/>
            </xdr:xfrm>
            <a:graphic>
              <a:graphicData uri="http://schemas.microsoft.com/office/drawing/2010/slicer">
                <sle:slicer xmlns:sle="http://schemas.microsoft.com/office/drawing/2010/slicer" name="Tourism Zone 2"/>
              </a:graphicData>
            </a:graphic>
          </xdr:graphicFrame>
        </mc:Choice>
        <mc:Fallback xmlns="">
          <xdr:sp macro="" textlink="">
            <xdr:nvSpPr>
              <xdr:cNvPr id="0" name=""/>
              <xdr:cNvSpPr>
                <a:spLocks noTextEdit="1"/>
              </xdr:cNvSpPr>
            </xdr:nvSpPr>
            <xdr:spPr>
              <a:xfrm>
                <a:off x="701568" y="531295"/>
                <a:ext cx="2935924" cy="1555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States/UTs * 2">
                <a:extLst>
                  <a:ext uri="{FF2B5EF4-FFF2-40B4-BE49-F238E27FC236}">
                    <a16:creationId xmlns:a16="http://schemas.microsoft.com/office/drawing/2014/main" id="{C689EB24-EB11-4C02-87C0-E0637F1AA3B9}"/>
                  </a:ext>
                </a:extLst>
              </xdr:cNvPr>
              <xdr:cNvGraphicFramePr/>
            </xdr:nvGraphicFramePr>
            <xdr:xfrm>
              <a:off x="662268" y="1869141"/>
              <a:ext cx="1853453" cy="2387974"/>
            </xdr:xfrm>
            <a:graphic>
              <a:graphicData uri="http://schemas.microsoft.com/office/drawing/2010/slicer">
                <sle:slicer xmlns:sle="http://schemas.microsoft.com/office/drawing/2010/slicer" name="States/UTs * 2"/>
              </a:graphicData>
            </a:graphic>
          </xdr:graphicFrame>
        </mc:Choice>
        <mc:Fallback xmlns="">
          <xdr:sp macro="" textlink="">
            <xdr:nvSpPr>
              <xdr:cNvPr id="0" name=""/>
              <xdr:cNvSpPr>
                <a:spLocks noTextEdit="1"/>
              </xdr:cNvSpPr>
            </xdr:nvSpPr>
            <xdr:spPr>
              <a:xfrm>
                <a:off x="698516" y="2132363"/>
                <a:ext cx="2969496" cy="2847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9" name="Picture 18">
            <a:extLst>
              <a:ext uri="{FF2B5EF4-FFF2-40B4-BE49-F238E27FC236}">
                <a16:creationId xmlns:a16="http://schemas.microsoft.com/office/drawing/2014/main" id="{CBB105F2-30A0-4B0B-81C4-A5A4B9195427}"/>
              </a:ext>
            </a:extLst>
          </xdr:cNvPr>
          <xdr:cNvPicPr>
            <a:picLocks noChangeAspect="1"/>
          </xdr:cNvPicPr>
        </xdr:nvPicPr>
        <xdr:blipFill>
          <a:blip xmlns:r="http://schemas.openxmlformats.org/officeDocument/2006/relationships" r:embed="rId5"/>
          <a:stretch>
            <a:fillRect/>
          </a:stretch>
        </xdr:blipFill>
        <xdr:spPr>
          <a:xfrm>
            <a:off x="8492411" y="455070"/>
            <a:ext cx="1547611" cy="153341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19051</xdr:colOff>
      <xdr:row>2</xdr:row>
      <xdr:rowOff>140970</xdr:rowOff>
    </xdr:from>
    <xdr:to>
      <xdr:col>16</xdr:col>
      <xdr:colOff>495301</xdr:colOff>
      <xdr:row>38</xdr:row>
      <xdr:rowOff>38099</xdr:rowOff>
    </xdr:to>
    <xdr:sp macro="" textlink="">
      <xdr:nvSpPr>
        <xdr:cNvPr id="2" name="Rectangle 1">
          <a:extLst>
            <a:ext uri="{FF2B5EF4-FFF2-40B4-BE49-F238E27FC236}">
              <a16:creationId xmlns:a16="http://schemas.microsoft.com/office/drawing/2014/main" id="{42BED1BB-3913-5998-7640-C7782B5FF13D}"/>
            </a:ext>
          </a:extLst>
        </xdr:cNvPr>
        <xdr:cNvSpPr/>
      </xdr:nvSpPr>
      <xdr:spPr>
        <a:xfrm>
          <a:off x="628651" y="502920"/>
          <a:ext cx="9620250" cy="641222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154304</xdr:colOff>
      <xdr:row>2</xdr:row>
      <xdr:rowOff>173355</xdr:rowOff>
    </xdr:from>
    <xdr:to>
      <xdr:col>13</xdr:col>
      <xdr:colOff>533399</xdr:colOff>
      <xdr:row>5</xdr:row>
      <xdr:rowOff>142875</xdr:rowOff>
    </xdr:to>
    <xdr:sp macro="" textlink="">
      <xdr:nvSpPr>
        <xdr:cNvPr id="3" name="Rectangle 2">
          <a:extLst>
            <a:ext uri="{FF2B5EF4-FFF2-40B4-BE49-F238E27FC236}">
              <a16:creationId xmlns:a16="http://schemas.microsoft.com/office/drawing/2014/main" id="{2ADF0AC3-6885-853D-1EA3-809F37814543}"/>
            </a:ext>
          </a:extLst>
        </xdr:cNvPr>
        <xdr:cNvSpPr/>
      </xdr:nvSpPr>
      <xdr:spPr>
        <a:xfrm>
          <a:off x="2592704" y="535305"/>
          <a:ext cx="5865495" cy="512445"/>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Tourism Analysis Dashboard (India 2019–2020)</a:t>
          </a:r>
        </a:p>
      </xdr:txBody>
    </xdr:sp>
    <xdr:clientData/>
  </xdr:twoCellAnchor>
  <xdr:twoCellAnchor>
    <xdr:from>
      <xdr:col>4</xdr:col>
      <xdr:colOff>154305</xdr:colOff>
      <xdr:row>5</xdr:row>
      <xdr:rowOff>179070</xdr:rowOff>
    </xdr:from>
    <xdr:to>
      <xdr:col>6</xdr:col>
      <xdr:colOff>360045</xdr:colOff>
      <xdr:row>10</xdr:row>
      <xdr:rowOff>87630</xdr:rowOff>
    </xdr:to>
    <xdr:sp macro="" textlink="Sheet2!C173">
      <xdr:nvSpPr>
        <xdr:cNvPr id="4" name="Rectangle 3">
          <a:extLst>
            <a:ext uri="{FF2B5EF4-FFF2-40B4-BE49-F238E27FC236}">
              <a16:creationId xmlns:a16="http://schemas.microsoft.com/office/drawing/2014/main" id="{B5E4BB9F-1D84-AB3A-FABF-FAD767E9323F}"/>
            </a:ext>
          </a:extLst>
        </xdr:cNvPr>
        <xdr:cNvSpPr/>
      </xdr:nvSpPr>
      <xdr:spPr>
        <a:xfrm>
          <a:off x="2592705" y="1083945"/>
          <a:ext cx="1424940" cy="81343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baseline="0">
              <a:solidFill>
                <a:schemeClr val="bg1"/>
              </a:solidFill>
              <a:latin typeface="Calibri"/>
              <a:ea typeface="Calibri"/>
              <a:cs typeface="Calibri"/>
            </a:rPr>
            <a:t>Domestic Visitor</a:t>
          </a:r>
        </a:p>
        <a:p>
          <a:pPr algn="ctr"/>
          <a:fld id="{FCBF378F-1B6B-4B8A-AF39-2CE73A95C820}" type="TxLink">
            <a:rPr lang="en-US" sz="1400" b="1" i="0" u="none" strike="noStrike" baseline="0">
              <a:solidFill>
                <a:schemeClr val="bg1"/>
              </a:solidFill>
              <a:latin typeface="Calibri"/>
              <a:ea typeface="Calibri"/>
              <a:cs typeface="Calibri"/>
            </a:rPr>
            <a:pPr algn="ctr"/>
            <a:t>515880.7K</a:t>
          </a:fld>
          <a:endParaRPr lang="en-IN" sz="1400" b="1">
            <a:solidFill>
              <a:schemeClr val="bg1"/>
            </a:solidFill>
          </a:endParaRPr>
        </a:p>
      </xdr:txBody>
    </xdr:sp>
    <xdr:clientData/>
  </xdr:twoCellAnchor>
  <xdr:twoCellAnchor>
    <xdr:from>
      <xdr:col>6</xdr:col>
      <xdr:colOff>400050</xdr:colOff>
      <xdr:row>5</xdr:row>
      <xdr:rowOff>177165</xdr:rowOff>
    </xdr:from>
    <xdr:to>
      <xdr:col>8</xdr:col>
      <xdr:colOff>598170</xdr:colOff>
      <xdr:row>10</xdr:row>
      <xdr:rowOff>93345</xdr:rowOff>
    </xdr:to>
    <xdr:sp macro="" textlink="Sheet2!E173">
      <xdr:nvSpPr>
        <xdr:cNvPr id="5" name="Rectangle 4">
          <a:extLst>
            <a:ext uri="{FF2B5EF4-FFF2-40B4-BE49-F238E27FC236}">
              <a16:creationId xmlns:a16="http://schemas.microsoft.com/office/drawing/2014/main" id="{826BD22D-303C-3730-43C5-4A12B92C2F43}"/>
            </a:ext>
          </a:extLst>
        </xdr:cNvPr>
        <xdr:cNvSpPr/>
      </xdr:nvSpPr>
      <xdr:spPr>
        <a:xfrm>
          <a:off x="4057650" y="1082040"/>
          <a:ext cx="1417320" cy="82105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Foreign Visitor</a:t>
          </a:r>
          <a:endParaRPr lang="en-US" sz="1400" b="1" i="0" u="none" strike="noStrike">
            <a:solidFill>
              <a:schemeClr val="bg1"/>
            </a:solidFill>
            <a:latin typeface="Calibri"/>
            <a:ea typeface="Calibri"/>
            <a:cs typeface="Calibri"/>
          </a:endParaRPr>
        </a:p>
        <a:p>
          <a:pPr algn="ctr"/>
          <a:fld id="{4BF95306-2F61-4F0C-84B8-EEED3ABBFD74}" type="TxLink">
            <a:rPr lang="en-US" sz="1400" b="1" i="0" u="none" strike="noStrike">
              <a:solidFill>
                <a:schemeClr val="bg1"/>
              </a:solidFill>
              <a:latin typeface="Calibri"/>
              <a:ea typeface="Calibri"/>
              <a:cs typeface="Calibri"/>
            </a:rPr>
            <a:pPr algn="ctr"/>
            <a:t>13992.7K</a:t>
          </a:fld>
          <a:endParaRPr lang="en-IN" sz="1400" b="1">
            <a:solidFill>
              <a:schemeClr val="bg1"/>
            </a:solidFill>
          </a:endParaRPr>
        </a:p>
      </xdr:txBody>
    </xdr:sp>
    <xdr:clientData/>
  </xdr:twoCellAnchor>
  <xdr:twoCellAnchor>
    <xdr:from>
      <xdr:col>9</xdr:col>
      <xdr:colOff>40005</xdr:colOff>
      <xdr:row>6</xdr:row>
      <xdr:rowOff>1905</xdr:rowOff>
    </xdr:from>
    <xdr:to>
      <xdr:col>11</xdr:col>
      <xdr:colOff>243840</xdr:colOff>
      <xdr:row>10</xdr:row>
      <xdr:rowOff>100965</xdr:rowOff>
    </xdr:to>
    <xdr:sp macro="" textlink="Sheet2!B174">
      <xdr:nvSpPr>
        <xdr:cNvPr id="6" name="Rectangle 5">
          <a:extLst>
            <a:ext uri="{FF2B5EF4-FFF2-40B4-BE49-F238E27FC236}">
              <a16:creationId xmlns:a16="http://schemas.microsoft.com/office/drawing/2014/main" id="{27AEC9ED-78ED-21B0-52EC-E40BAEAAD69C}"/>
            </a:ext>
          </a:extLst>
        </xdr:cNvPr>
        <xdr:cNvSpPr/>
      </xdr:nvSpPr>
      <xdr:spPr>
        <a:xfrm>
          <a:off x="5526405" y="1087755"/>
          <a:ext cx="1423035" cy="82296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Total Visitor</a:t>
          </a:r>
          <a:endParaRPr lang="en-US" sz="1400" b="1" i="0" u="none" strike="noStrike">
            <a:solidFill>
              <a:schemeClr val="bg1"/>
            </a:solidFill>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FA3B23CA-6846-40C0-9B2A-7FA5086F0675}" type="TxLink">
            <a:rPr lang="en-US" sz="14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529873460.0</a:t>
          </a:fld>
          <a:endParaRPr lang="en-IN" sz="1400" b="1">
            <a:solidFill>
              <a:schemeClr val="bg1"/>
            </a:solidFill>
          </a:endParaRPr>
        </a:p>
      </xdr:txBody>
    </xdr:sp>
    <xdr:clientData/>
  </xdr:twoCellAnchor>
  <xdr:twoCellAnchor>
    <xdr:from>
      <xdr:col>11</xdr:col>
      <xdr:colOff>297180</xdr:colOff>
      <xdr:row>6</xdr:row>
      <xdr:rowOff>9525</xdr:rowOff>
    </xdr:from>
    <xdr:to>
      <xdr:col>13</xdr:col>
      <xdr:colOff>520065</xdr:colOff>
      <xdr:row>10</xdr:row>
      <xdr:rowOff>102870</xdr:rowOff>
    </xdr:to>
    <xdr:sp macro="" textlink="Sheet2!E89">
      <xdr:nvSpPr>
        <xdr:cNvPr id="7" name="Rectangle 6">
          <a:extLst>
            <a:ext uri="{FF2B5EF4-FFF2-40B4-BE49-F238E27FC236}">
              <a16:creationId xmlns:a16="http://schemas.microsoft.com/office/drawing/2014/main" id="{FABE4C53-801D-9E6F-F6C0-901F2965DB55}"/>
            </a:ext>
          </a:extLst>
        </xdr:cNvPr>
        <xdr:cNvSpPr/>
      </xdr:nvSpPr>
      <xdr:spPr>
        <a:xfrm>
          <a:off x="7002780" y="1095375"/>
          <a:ext cx="1442085" cy="817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Avg Groth Rate</a:t>
          </a:r>
          <a:endParaRPr lang="en-US" sz="1400" b="1" i="0" u="none" strike="noStrike">
            <a:solidFill>
              <a:schemeClr val="bg1"/>
            </a:solidFill>
            <a:latin typeface="Calibri"/>
            <a:ea typeface="Calibri"/>
            <a:cs typeface="Calibri"/>
          </a:endParaRPr>
        </a:p>
        <a:p>
          <a:pPr algn="ctr"/>
          <a:fld id="{DC88E392-4051-4E54-9DB3-03EA86E92EDB}" type="TxLink">
            <a:rPr lang="en-US" sz="1400" b="1" i="0" u="none" strike="noStrike">
              <a:solidFill>
                <a:schemeClr val="bg1"/>
              </a:solidFill>
              <a:latin typeface="Calibri"/>
              <a:ea typeface="Calibri"/>
              <a:cs typeface="Calibri"/>
            </a:rPr>
            <a:pPr algn="ctr"/>
            <a:t>-75.1322973</a:t>
          </a:fld>
          <a:endParaRPr lang="en-IN" sz="1400" b="1">
            <a:solidFill>
              <a:schemeClr val="bg1"/>
            </a:solidFill>
          </a:endParaRPr>
        </a:p>
      </xdr:txBody>
    </xdr:sp>
    <xdr:clientData/>
  </xdr:twoCellAnchor>
  <xdr:twoCellAnchor>
    <xdr:from>
      <xdr:col>4</xdr:col>
      <xdr:colOff>125730</xdr:colOff>
      <xdr:row>10</xdr:row>
      <xdr:rowOff>131444</xdr:rowOff>
    </xdr:from>
    <xdr:to>
      <xdr:col>10</xdr:col>
      <xdr:colOff>169273</xdr:colOff>
      <xdr:row>23</xdr:row>
      <xdr:rowOff>22315</xdr:rowOff>
    </xdr:to>
    <xdr:graphicFrame macro="">
      <xdr:nvGraphicFramePr>
        <xdr:cNvPr id="8" name="Chart 7">
          <a:extLst>
            <a:ext uri="{FF2B5EF4-FFF2-40B4-BE49-F238E27FC236}">
              <a16:creationId xmlns:a16="http://schemas.microsoft.com/office/drawing/2014/main" id="{C810D665-C8D9-4E9B-9469-45D0D6517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10</xdr:row>
      <xdr:rowOff>135256</xdr:rowOff>
    </xdr:from>
    <xdr:to>
      <xdr:col>16</xdr:col>
      <xdr:colOff>438150</xdr:colOff>
      <xdr:row>23</xdr:row>
      <xdr:rowOff>47625</xdr:rowOff>
    </xdr:to>
    <xdr:graphicFrame macro="">
      <xdr:nvGraphicFramePr>
        <xdr:cNvPr id="9" name="Chart 8">
          <a:extLst>
            <a:ext uri="{FF2B5EF4-FFF2-40B4-BE49-F238E27FC236}">
              <a16:creationId xmlns:a16="http://schemas.microsoft.com/office/drawing/2014/main" id="{ADAE6640-5DB7-4A55-9F55-F0EDE22E4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125730</xdr:colOff>
      <xdr:row>23</xdr:row>
      <xdr:rowOff>102870</xdr:rowOff>
    </xdr:from>
    <xdr:to>
      <xdr:col>10</xdr:col>
      <xdr:colOff>180975</xdr:colOff>
      <xdr:row>38</xdr:row>
      <xdr:rowOff>1</xdr:rowOff>
    </xdr:to>
    <xdr:graphicFrame macro="">
      <xdr:nvGraphicFramePr>
        <xdr:cNvPr id="11" name="Chart 10">
          <a:extLst>
            <a:ext uri="{FF2B5EF4-FFF2-40B4-BE49-F238E27FC236}">
              <a16:creationId xmlns:a16="http://schemas.microsoft.com/office/drawing/2014/main" id="{5EAA5E49-C33F-4BC1-82DE-59268EB1C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255271</xdr:colOff>
      <xdr:row>23</xdr:row>
      <xdr:rowOff>125730</xdr:rowOff>
    </xdr:from>
    <xdr:to>
      <xdr:col>16</xdr:col>
      <xdr:colOff>438151</xdr:colOff>
      <xdr:row>38</xdr:row>
      <xdr:rowOff>1</xdr:rowOff>
    </xdr:to>
    <xdr:graphicFrame macro="">
      <xdr:nvGraphicFramePr>
        <xdr:cNvPr id="12" name="Chart 11">
          <a:extLst>
            <a:ext uri="{FF2B5EF4-FFF2-40B4-BE49-F238E27FC236}">
              <a16:creationId xmlns:a16="http://schemas.microsoft.com/office/drawing/2014/main" id="{2E70452E-3BCD-40B7-B1EA-7B3844652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38077</xdr:colOff>
      <xdr:row>25</xdr:row>
      <xdr:rowOff>148591</xdr:rowOff>
    </xdr:from>
    <xdr:to>
      <xdr:col>4</xdr:col>
      <xdr:colOff>81915</xdr:colOff>
      <xdr:row>37</xdr:row>
      <xdr:rowOff>171451</xdr:rowOff>
    </xdr:to>
    <xdr:grpSp>
      <xdr:nvGrpSpPr>
        <xdr:cNvPr id="16" name="Group 15">
          <a:extLst>
            <a:ext uri="{FF2B5EF4-FFF2-40B4-BE49-F238E27FC236}">
              <a16:creationId xmlns:a16="http://schemas.microsoft.com/office/drawing/2014/main" id="{0DFDE6C8-5BC4-78ED-97A7-FC555E169AFD}"/>
            </a:ext>
          </a:extLst>
        </xdr:cNvPr>
        <xdr:cNvGrpSpPr/>
      </xdr:nvGrpSpPr>
      <xdr:grpSpPr>
        <a:xfrm>
          <a:off x="643195" y="4630944"/>
          <a:ext cx="1861096" cy="2170579"/>
          <a:chOff x="664822" y="4215766"/>
          <a:chExt cx="1876448" cy="2192655"/>
        </a:xfrm>
      </xdr:grpSpPr>
      <xdr:sp macro="" textlink="Sheet2!C87">
        <xdr:nvSpPr>
          <xdr:cNvPr id="10" name="Rectangle 9">
            <a:extLst>
              <a:ext uri="{FF2B5EF4-FFF2-40B4-BE49-F238E27FC236}">
                <a16:creationId xmlns:a16="http://schemas.microsoft.com/office/drawing/2014/main" id="{3472B5D6-2EFF-92AE-2A10-F2883C9519A3}"/>
              </a:ext>
            </a:extLst>
          </xdr:cNvPr>
          <xdr:cNvSpPr/>
        </xdr:nvSpPr>
        <xdr:spPr>
          <a:xfrm>
            <a:off x="664845" y="4215766"/>
            <a:ext cx="1876425" cy="6858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ea typeface="Calibri"/>
                <a:cs typeface="Calibri"/>
              </a:rPr>
              <a:t>High Tourism</a:t>
            </a:r>
          </a:p>
          <a:p>
            <a:pPr algn="ctr"/>
            <a:fld id="{0C77AD83-7216-402A-B898-F5EBD65FF6C9}" type="TxLink">
              <a:rPr lang="en-US" sz="1400" b="1" i="0" u="none" strike="noStrike">
                <a:solidFill>
                  <a:schemeClr val="bg1"/>
                </a:solidFill>
                <a:latin typeface="Calibri"/>
                <a:ea typeface="Calibri"/>
                <a:cs typeface="Calibri"/>
              </a:rPr>
              <a:pPr algn="ctr"/>
              <a:t>112654.5K</a:t>
            </a:fld>
            <a:endParaRPr lang="en-IN" sz="1400" b="1">
              <a:solidFill>
                <a:schemeClr val="bg1"/>
              </a:solidFill>
            </a:endParaRPr>
          </a:p>
        </xdr:txBody>
      </xdr:sp>
      <xdr:sp macro="" textlink="Sheet2!C88">
        <xdr:nvSpPr>
          <xdr:cNvPr id="13" name="Rectangle 12">
            <a:extLst>
              <a:ext uri="{FF2B5EF4-FFF2-40B4-BE49-F238E27FC236}">
                <a16:creationId xmlns:a16="http://schemas.microsoft.com/office/drawing/2014/main" id="{0D8DD69D-52AB-D418-9066-3E1451E3F2B1}"/>
              </a:ext>
            </a:extLst>
          </xdr:cNvPr>
          <xdr:cNvSpPr/>
        </xdr:nvSpPr>
        <xdr:spPr>
          <a:xfrm>
            <a:off x="664822" y="4977766"/>
            <a:ext cx="1870733" cy="6820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ea typeface="Calibri"/>
                <a:cs typeface="Calibri"/>
              </a:rPr>
              <a:t>Low Tourism</a:t>
            </a:r>
          </a:p>
          <a:p>
            <a:pPr algn="ctr"/>
            <a:fld id="{D8E2D8FC-8D3C-440D-92E3-70EB8CFF4DEB}" type="TxLink">
              <a:rPr lang="en-US" sz="1400" b="1" i="0" u="none" strike="noStrike">
                <a:solidFill>
                  <a:schemeClr val="bg1"/>
                </a:solidFill>
                <a:latin typeface="Calibri"/>
                <a:ea typeface="Calibri"/>
                <a:cs typeface="Calibri"/>
              </a:rPr>
              <a:pPr algn="ctr"/>
              <a:t>11.7K</a:t>
            </a:fld>
            <a:endParaRPr lang="en-US" sz="1400" b="1">
              <a:solidFill>
                <a:schemeClr val="bg1"/>
              </a:solidFill>
            </a:endParaRPr>
          </a:p>
        </xdr:txBody>
      </xdr:sp>
      <xdr:sp macro="" textlink="Sheet2!C89">
        <xdr:nvSpPr>
          <xdr:cNvPr id="14" name="Rectangle 13">
            <a:extLst>
              <a:ext uri="{FF2B5EF4-FFF2-40B4-BE49-F238E27FC236}">
                <a16:creationId xmlns:a16="http://schemas.microsoft.com/office/drawing/2014/main" id="{D627F914-F0B2-6631-F6D9-012C7ACE3D7C}"/>
              </a:ext>
            </a:extLst>
          </xdr:cNvPr>
          <xdr:cNvSpPr/>
        </xdr:nvSpPr>
        <xdr:spPr>
          <a:xfrm>
            <a:off x="666750" y="5724438"/>
            <a:ext cx="1863113" cy="683983"/>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ea typeface="Calibri"/>
                <a:cs typeface="Calibri"/>
              </a:rPr>
              <a:t>Medium Tourism</a:t>
            </a:r>
          </a:p>
          <a:p>
            <a:pPr algn="ctr"/>
            <a:fld id="{915088E0-BBB0-4631-B67B-CCDAC1FB30E3}" type="TxLink">
              <a:rPr lang="en-US" sz="1400" b="1" i="0" u="none" strike="noStrike">
                <a:solidFill>
                  <a:schemeClr val="bg1"/>
                </a:solidFill>
                <a:latin typeface="Calibri"/>
                <a:ea typeface="Calibri"/>
                <a:cs typeface="Calibri"/>
              </a:rPr>
              <a:pPr algn="ctr"/>
              <a:t>287.8K</a:t>
            </a:fld>
            <a:endParaRPr lang="en-IN" sz="1400" b="1">
              <a:solidFill>
                <a:schemeClr val="bg1"/>
              </a:solidFill>
            </a:endParaRPr>
          </a:p>
        </xdr:txBody>
      </xdr:sp>
    </xdr:grpSp>
    <xdr:clientData/>
  </xdr:twoCellAnchor>
  <xdr:twoCellAnchor>
    <xdr:from>
      <xdr:col>1</xdr:col>
      <xdr:colOff>38100</xdr:colOff>
      <xdr:row>23</xdr:row>
      <xdr:rowOff>151448</xdr:rowOff>
    </xdr:from>
    <xdr:to>
      <xdr:col>4</xdr:col>
      <xdr:colOff>87630</xdr:colOff>
      <xdr:row>25</xdr:row>
      <xdr:rowOff>78106</xdr:rowOff>
    </xdr:to>
    <xdr:sp macro="" textlink="">
      <xdr:nvSpPr>
        <xdr:cNvPr id="17" name="TextBox 16">
          <a:extLst>
            <a:ext uri="{FF2B5EF4-FFF2-40B4-BE49-F238E27FC236}">
              <a16:creationId xmlns:a16="http://schemas.microsoft.com/office/drawing/2014/main" id="{A36BBC1A-4FAB-9942-10D9-F59104525C1C}"/>
            </a:ext>
          </a:extLst>
        </xdr:cNvPr>
        <xdr:cNvSpPr txBox="1"/>
      </xdr:nvSpPr>
      <xdr:spPr>
        <a:xfrm>
          <a:off x="647700" y="4313873"/>
          <a:ext cx="1878330" cy="288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t>Tourist Zone</a:t>
          </a:r>
        </a:p>
      </xdr:txBody>
    </xdr:sp>
    <xdr:clientData/>
  </xdr:twoCellAnchor>
  <xdr:twoCellAnchor editAs="oneCell">
    <xdr:from>
      <xdr:col>1</xdr:col>
      <xdr:colOff>55245</xdr:colOff>
      <xdr:row>2</xdr:row>
      <xdr:rowOff>163830</xdr:rowOff>
    </xdr:from>
    <xdr:to>
      <xdr:col>4</xdr:col>
      <xdr:colOff>76200</xdr:colOff>
      <xdr:row>10</xdr:row>
      <xdr:rowOff>38100</xdr:rowOff>
    </xdr:to>
    <mc:AlternateContent xmlns:mc="http://schemas.openxmlformats.org/markup-compatibility/2006" xmlns:a14="http://schemas.microsoft.com/office/drawing/2010/main">
      <mc:Choice Requires="a14">
        <xdr:graphicFrame macro="">
          <xdr:nvGraphicFramePr>
            <xdr:cNvPr id="18" name="Tourism Zone 1">
              <a:extLst>
                <a:ext uri="{FF2B5EF4-FFF2-40B4-BE49-F238E27FC236}">
                  <a16:creationId xmlns:a16="http://schemas.microsoft.com/office/drawing/2014/main" id="{4B30D08A-0B8B-46AB-9723-693949620D34}"/>
                </a:ext>
              </a:extLst>
            </xdr:cNvPr>
            <xdr:cNvGraphicFramePr/>
          </xdr:nvGraphicFramePr>
          <xdr:xfrm>
            <a:off x="0" y="0"/>
            <a:ext cx="0" cy="0"/>
          </xdr:xfrm>
          <a:graphic>
            <a:graphicData uri="http://schemas.microsoft.com/office/drawing/2010/slicer">
              <sle:slicer xmlns:sle="http://schemas.microsoft.com/office/drawing/2010/slicer" name="Tourism Zone 1"/>
            </a:graphicData>
          </a:graphic>
        </xdr:graphicFrame>
      </mc:Choice>
      <mc:Fallback xmlns="">
        <xdr:sp macro="" textlink="">
          <xdr:nvSpPr>
            <xdr:cNvPr id="0" name=""/>
            <xdr:cNvSpPr>
              <a:spLocks noTextEdit="1"/>
            </xdr:cNvSpPr>
          </xdr:nvSpPr>
          <xdr:spPr>
            <a:xfrm>
              <a:off x="664173" y="526228"/>
              <a:ext cx="1832498" cy="1304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xdr:colOff>
      <xdr:row>10</xdr:row>
      <xdr:rowOff>76200</xdr:rowOff>
    </xdr:from>
    <xdr:to>
      <xdr:col>4</xdr:col>
      <xdr:colOff>91440</xdr:colOff>
      <xdr:row>23</xdr:row>
      <xdr:rowOff>123825</xdr:rowOff>
    </xdr:to>
    <mc:AlternateContent xmlns:mc="http://schemas.openxmlformats.org/markup-compatibility/2006" xmlns:a14="http://schemas.microsoft.com/office/drawing/2010/main">
      <mc:Choice Requires="a14">
        <xdr:graphicFrame macro="">
          <xdr:nvGraphicFramePr>
            <xdr:cNvPr id="20" name="States/UTs * 1">
              <a:extLst>
                <a:ext uri="{FF2B5EF4-FFF2-40B4-BE49-F238E27FC236}">
                  <a16:creationId xmlns:a16="http://schemas.microsoft.com/office/drawing/2014/main" id="{D0B62C06-2665-4D23-BB8A-0E4DC4E0E1DA}"/>
                </a:ext>
              </a:extLst>
            </xdr:cNvPr>
            <xdr:cNvGraphicFramePr/>
          </xdr:nvGraphicFramePr>
          <xdr:xfrm>
            <a:off x="0" y="0"/>
            <a:ext cx="0" cy="0"/>
          </xdr:xfrm>
          <a:graphic>
            <a:graphicData uri="http://schemas.microsoft.com/office/drawing/2010/slicer">
              <sle:slicer xmlns:sle="http://schemas.microsoft.com/office/drawing/2010/slicer" name="States/UTs * 1"/>
            </a:graphicData>
          </a:graphic>
        </xdr:graphicFrame>
      </mc:Choice>
      <mc:Fallback xmlns="">
        <xdr:sp macro="" textlink="">
          <xdr:nvSpPr>
            <xdr:cNvPr id="0" name=""/>
            <xdr:cNvSpPr>
              <a:spLocks noTextEdit="1"/>
            </xdr:cNvSpPr>
          </xdr:nvSpPr>
          <xdr:spPr>
            <a:xfrm>
              <a:off x="662268" y="1869141"/>
              <a:ext cx="1853453" cy="2380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16954</xdr:colOff>
      <xdr:row>2</xdr:row>
      <xdr:rowOff>92672</xdr:rowOff>
    </xdr:from>
    <xdr:to>
      <xdr:col>16</xdr:col>
      <xdr:colOff>361950</xdr:colOff>
      <xdr:row>11</xdr:row>
      <xdr:rowOff>20057</xdr:rowOff>
    </xdr:to>
    <xdr:pic>
      <xdr:nvPicPr>
        <xdr:cNvPr id="21" name="Picture 20">
          <a:extLst>
            <a:ext uri="{FF2B5EF4-FFF2-40B4-BE49-F238E27FC236}">
              <a16:creationId xmlns:a16="http://schemas.microsoft.com/office/drawing/2014/main" id="{F2936C19-53EA-F93B-022A-3F998D8A86C8}"/>
            </a:ext>
          </a:extLst>
        </xdr:cNvPr>
        <xdr:cNvPicPr>
          <a:picLocks noChangeAspect="1"/>
        </xdr:cNvPicPr>
      </xdr:nvPicPr>
      <xdr:blipFill>
        <a:blip xmlns:r="http://schemas.openxmlformats.org/officeDocument/2006/relationships" r:embed="rId5"/>
        <a:stretch>
          <a:fillRect/>
        </a:stretch>
      </xdr:blipFill>
      <xdr:spPr>
        <a:xfrm>
          <a:off x="8488601" y="451260"/>
          <a:ext cx="1555231" cy="154103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22.756174074071" backgroundQuery="1" createdVersion="8" refreshedVersion="8" minRefreshableVersion="3" recordCount="0" supportSubquery="1" supportAdvancedDrill="1" xr:uid="{609F02D4-0E70-40E8-9D67-6DAA7518B150}">
  <cacheSource type="external" connectionId="3"/>
  <cacheFields count="2">
    <cacheField name="[Range].[States/UTs *].[States/UTs *]" caption="States/UTs *" numFmtId="0" hierarchy="1" level="1">
      <sharedItems count="37">
        <s v="A&amp;N Island"/>
        <s v="Andhra Pradesh"/>
        <s v="Arunachal Pradesh"/>
        <s v="Assam"/>
        <s v="Bihar"/>
        <s v="Chandigarh"/>
        <s v="Chhattisgarh"/>
        <s v="Dadra &amp; Nagar Haveli"/>
        <s v="Daman &amp; Diu"/>
        <s v="Delhi #"/>
        <s v="Goa"/>
        <s v="Gujarat"/>
        <s v="Haryana"/>
        <s v="Himachal Pradesh"/>
        <s v="J&amp;K"/>
        <s v="Jharkhand"/>
        <s v="Karnataka"/>
        <s v="Kerala"/>
        <s v="Ladakh"/>
        <s v="Lakshdweep"/>
        <s v="Madhya Pradesh"/>
        <s v="Maharashtra #"/>
        <s v="Manipur"/>
        <s v="Meghalaya"/>
        <s v="Mizoram"/>
        <s v="Nagaland"/>
        <s v="Odisha"/>
        <s v="Puducherry"/>
        <s v="Punjab"/>
        <s v="Rajasthan"/>
        <s v="Sikkim"/>
        <s v="Tamil Nadu"/>
        <s v="Telengana"/>
        <s v="Tripura"/>
        <s v="Uttar Pradesh"/>
        <s v="Uttarakhand"/>
        <s v="West Bengal"/>
      </sharedItems>
    </cacheField>
    <cacheField name="[Measures].[Sum of Total_Vistor]" caption="Sum of Total_Vistor" numFmtId="0" hierarchy="15" level="32767"/>
  </cacheFields>
  <cacheHierarchies count="27">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fieldsUsage count="2">
        <fieldUsage x="-1"/>
        <fieldUsage x="0"/>
      </fieldsUsage>
    </cacheHierarchy>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hidden="1">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hidden="1">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hidden="1">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hidden="1">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hidden="1">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hidden="1">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hidden="1">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hidden="1">
      <extLst>
        <ext xmlns:x15="http://schemas.microsoft.com/office/spreadsheetml/2010/11/main" uri="{B97F6D7D-B522-45F9-BDA1-12C45D357490}">
          <x15:cacheHierarchy aggregatedColumn="8"/>
        </ext>
      </extLst>
    </cacheHierarchy>
    <cacheHierarchy uniqueName="[Measures].[Average of Growth rate - DTV  2020/19]" caption="Average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Average of Growth rate - FTV 2020/19]" caption="Average of Growth rate - FTV 2020/19"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22.75617453704" backgroundQuery="1" createdVersion="8" refreshedVersion="8" minRefreshableVersion="3" recordCount="0" supportSubquery="1" supportAdvancedDrill="1" xr:uid="{447E98D0-18E7-44AF-AAAE-0244755C0A16}">
  <cacheSource type="external" connectionId="3"/>
  <cacheFields count="3">
    <cacheField name="[Range].[States/UTs *].[States/UTs *]" caption="States/UTs *" numFmtId="0" hierarchy="1" level="1">
      <sharedItems count="37">
        <s v="A&amp;N Island"/>
        <s v="Andhra Pradesh"/>
        <s v="Arunachal Pradesh"/>
        <s v="Assam"/>
        <s v="Bihar"/>
        <s v="Chandigarh"/>
        <s v="Chhattisgarh"/>
        <s v="Dadra &amp; Nagar Haveli"/>
        <s v="Daman &amp; Diu"/>
        <s v="Delhi #"/>
        <s v="Goa"/>
        <s v="Gujarat"/>
        <s v="Haryana"/>
        <s v="Himachal Pradesh"/>
        <s v="J&amp;K"/>
        <s v="Jharkhand"/>
        <s v="Karnataka"/>
        <s v="Kerala"/>
        <s v="Ladakh"/>
        <s v="Lakshdweep"/>
        <s v="Madhya Pradesh"/>
        <s v="Maharashtra #"/>
        <s v="Manipur"/>
        <s v="Meghalaya"/>
        <s v="Mizoram"/>
        <s v="Nagaland"/>
        <s v="Odisha"/>
        <s v="Puducherry"/>
        <s v="Punjab"/>
        <s v="Rajasthan"/>
        <s v="Sikkim"/>
        <s v="Tamil Nadu"/>
        <s v="Telengana"/>
        <s v="Tripura"/>
        <s v="Uttar Pradesh"/>
        <s v="Uttarakhand"/>
        <s v="West Bengal"/>
      </sharedItems>
    </cacheField>
    <cacheField name="[Measures].[Sum of Total_Vistor_Domestic]" caption="Sum of Total_Vistor_Domestic" numFmtId="0" hierarchy="16" level="32767"/>
    <cacheField name="[Measures].[Sum of Total_visitor_Foreign]" caption="Sum of Total_visitor_Foreign" numFmtId="0" hierarchy="17" level="32767"/>
  </cacheFields>
  <cacheHierarchies count="27">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fieldsUsage count="2">
        <fieldUsage x="-1"/>
        <fieldUsage x="0"/>
      </fieldsUsage>
    </cacheHierarchy>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hidden="1">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hidden="1">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hidden="1">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hidden="1">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hidden="1">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hidden="1">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hidden="1">
      <extLst>
        <ext xmlns:x15="http://schemas.microsoft.com/office/spreadsheetml/2010/11/main" uri="{B97F6D7D-B522-45F9-BDA1-12C45D357490}">
          <x15:cacheHierarchy aggregatedColumn="8"/>
        </ext>
      </extLst>
    </cacheHierarchy>
    <cacheHierarchy uniqueName="[Measures].[Average of Growth rate - DTV  2020/19]" caption="Average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Average of Growth rate - FTV 2020/19]" caption="Average of Growth rate - FTV 2020/19"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22.756175000002" backgroundQuery="1" createdVersion="8" refreshedVersion="8" minRefreshableVersion="3" recordCount="0" supportSubquery="1" supportAdvancedDrill="1" xr:uid="{8148DD16-91F7-4DF0-8D96-5A1EFC016D62}">
  <cacheSource type="external" connectionId="3"/>
  <cacheFields count="3">
    <cacheField name="[Range].[Tourism Zone].[Tourism Zone]" caption="Tourism Zone" numFmtId="0" hierarchy="12" level="1">
      <sharedItems count="3">
        <s v="High Tourism"/>
        <s v="Low Tourism"/>
        <s v="Medium Tourism"/>
      </sharedItems>
    </cacheField>
    <cacheField name="[Measures].[Min of Total_Vistor]" caption="Min of Total_Vistor" numFmtId="0" hierarchy="24" level="32767"/>
    <cacheField name="[Range].[States/UTs *].[States/UTs *]" caption="States/UTs *" numFmtId="0" hierarchy="1" level="1">
      <sharedItems containsSemiMixedTypes="0" containsNonDate="0" containsString="0"/>
    </cacheField>
  </cacheFields>
  <cacheHierarchies count="27">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fieldsUsage count="2">
        <fieldUsage x="-1"/>
        <fieldUsage x="2"/>
      </fieldsUsage>
    </cacheHierarchy>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hidden="1">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hidden="1">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hidden="1">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hidden="1">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hidden="1">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hidden="1">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hidden="1">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hidden="1">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Growth rate - DTV  2020/19]" caption="Average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Average of Growth rate - FTV 2020/19]" caption="Average of Growth rate - FTV 2020/19"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22.756175462964" backgroundQuery="1" createdVersion="8" refreshedVersion="8" minRefreshableVersion="3" recordCount="0" supportSubquery="1" supportAdvancedDrill="1" xr:uid="{36353849-C6DE-4249-B963-9EDA8208DA9D}">
  <cacheSource type="external" connectionId="3"/>
  <cacheFields count="3">
    <cacheField name="[Range].[States/UTs *].[States/UTs *]" caption="States/UTs *" numFmtId="0" hierarchy="1" level="1">
      <sharedItems count="37">
        <s v="A&amp;N Island"/>
        <s v="Andhra Pradesh"/>
        <s v="Arunachal Pradesh"/>
        <s v="Assam"/>
        <s v="Bihar"/>
        <s v="Chandigarh"/>
        <s v="Chhattisgarh"/>
        <s v="Dadra &amp; Nagar Haveli"/>
        <s v="Daman &amp; Diu"/>
        <s v="Delhi #"/>
        <s v="Goa"/>
        <s v="Gujarat"/>
        <s v="Haryana"/>
        <s v="Himachal Pradesh"/>
        <s v="J&amp;K"/>
        <s v="Jharkhand"/>
        <s v="Karnataka"/>
        <s v="Kerala"/>
        <s v="Ladakh"/>
        <s v="Lakshdweep"/>
        <s v="Madhya Pradesh"/>
        <s v="Maharashtra #"/>
        <s v="Manipur"/>
        <s v="Meghalaya"/>
        <s v="Mizoram"/>
        <s v="Nagaland"/>
        <s v="Odisha"/>
        <s v="Puducherry"/>
        <s v="Punjab"/>
        <s v="Rajasthan"/>
        <s v="Sikkim"/>
        <s v="Tamil Nadu"/>
        <s v="Telengana"/>
        <s v="Tripura"/>
        <s v="Uttar Pradesh"/>
        <s v="Uttarakhand"/>
        <s v="West Bengal"/>
      </sharedItems>
    </cacheField>
    <cacheField name="[Measures].[Sum of Growth rate - DTV  2020/19]" caption="Sum of Growth rate - DTV  2020/19" numFmtId="0" hierarchy="18" level="32767"/>
    <cacheField name="[Measures].[Sum of Growth rate - FTV 2020/19]" caption="Sum of Growth rate - FTV 2020/19" numFmtId="0" hierarchy="19" level="32767"/>
  </cacheFields>
  <cacheHierarchies count="27">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fieldsUsage count="2">
        <fieldUsage x="-1"/>
        <fieldUsage x="0"/>
      </fieldsUsage>
    </cacheHierarchy>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hidden="1">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hidden="1">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hidden="1">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hidden="1">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hidden="1">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hidden="1">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hidden="1">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hidden="1">
      <extLst>
        <ext xmlns:x15="http://schemas.microsoft.com/office/spreadsheetml/2010/11/main" uri="{B97F6D7D-B522-45F9-BDA1-12C45D357490}">
          <x15:cacheHierarchy aggregatedColumn="8"/>
        </ext>
      </extLst>
    </cacheHierarchy>
    <cacheHierarchy uniqueName="[Measures].[Average of Growth rate - DTV  2020/19]" caption="Average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Average of Growth rate - FTV 2020/19]" caption="Average of Growth rate - FTV 2020/19"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22.756176041665" backgroundQuery="1" createdVersion="8" refreshedVersion="8" minRefreshableVersion="3" recordCount="0" supportSubquery="1" supportAdvancedDrill="1" xr:uid="{089F9CA8-E0D2-4654-9943-16D2F9176281}">
  <cacheSource type="external" connectionId="3"/>
  <cacheFields count="5">
    <cacheField name="[Range].[States/UTs *].[States/UTs *]" caption="States/UTs *" numFmtId="0" hierarchy="1" level="1">
      <sharedItems count="37">
        <s v="A&amp;N Island"/>
        <s v="Andhra Pradesh"/>
        <s v="Arunachal Pradesh"/>
        <s v="Assam"/>
        <s v="Bihar"/>
        <s v="Chandigarh"/>
        <s v="Chhattisgarh"/>
        <s v="Dadra &amp; Nagar Haveli"/>
        <s v="Daman &amp; Diu"/>
        <s v="Delhi #"/>
        <s v="Goa"/>
        <s v="Gujarat"/>
        <s v="Haryana"/>
        <s v="Himachal Pradesh"/>
        <s v="J&amp;K"/>
        <s v="Jharkhand"/>
        <s v="Karnataka"/>
        <s v="Kerala"/>
        <s v="Ladakh"/>
        <s v="Lakshdweep"/>
        <s v="Madhya Pradesh"/>
        <s v="Maharashtra #"/>
        <s v="Manipur"/>
        <s v="Meghalaya"/>
        <s v="Mizoram"/>
        <s v="Nagaland"/>
        <s v="Odisha"/>
        <s v="Puducherry"/>
        <s v="Punjab"/>
        <s v="Rajasthan"/>
        <s v="Sikkim"/>
        <s v="Tamil Nadu"/>
        <s v="Telengana"/>
        <s v="Tripura"/>
        <s v="Uttar Pradesh"/>
        <s v="Uttarakhand"/>
        <s v="West Bengal"/>
      </sharedItems>
    </cacheField>
    <cacheField name="[Measures].[Sum of Domestic -2019]" caption="Sum of Domestic -2019" numFmtId="0" hierarchy="20" level="32767"/>
    <cacheField name="[Measures].[Sum of Foreign - 2019]" caption="Sum of Foreign - 2019" numFmtId="0" hierarchy="21" level="32767"/>
    <cacheField name="[Measures].[Sum of Foreign - 2020]" caption="Sum of Foreign - 2020" numFmtId="0" hierarchy="22" level="32767"/>
    <cacheField name="[Measures].[Sum of Domestic -2020]" caption="Sum of Domestic -2020" numFmtId="0" hierarchy="23" level="32767"/>
  </cacheFields>
  <cacheHierarchies count="27">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fieldsUsage count="2">
        <fieldUsage x="-1"/>
        <fieldUsage x="0"/>
      </fieldsUsage>
    </cacheHierarchy>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hidden="1">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hidden="1">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hidden="1">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hidden="1">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oneField="1" hidden="1">
      <fieldsUsage count="1">
        <fieldUsage x="4"/>
      </fieldsUsage>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hidden="1">
      <extLst>
        <ext xmlns:x15="http://schemas.microsoft.com/office/spreadsheetml/2010/11/main" uri="{B97F6D7D-B522-45F9-BDA1-12C45D357490}">
          <x15:cacheHierarchy aggregatedColumn="8"/>
        </ext>
      </extLst>
    </cacheHierarchy>
    <cacheHierarchy uniqueName="[Measures].[Average of Growth rate - DTV  2020/19]" caption="Average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Average of Growth rate - FTV 2020/19]" caption="Average of Growth rate - FTV 2020/19"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22.756176504627" backgroundQuery="1" createdVersion="8" refreshedVersion="8" minRefreshableVersion="3" recordCount="0" supportSubquery="1" supportAdvancedDrill="1" xr:uid="{119ADDB8-1FC3-46C0-940B-7905E2E86B04}">
  <cacheSource type="external" connectionId="3"/>
  <cacheFields count="2">
    <cacheField name="[Range].[States/UTs *].[States/UTs *]" caption="States/UTs *" numFmtId="0" hierarchy="1" level="1">
      <sharedItems count="37">
        <s v="A&amp;N Island"/>
        <s v="Andhra Pradesh"/>
        <s v="Arunachal Pradesh"/>
        <s v="Assam"/>
        <s v="Bihar"/>
        <s v="Chandigarh"/>
        <s v="Chhattisgarh"/>
        <s v="Dadra &amp; Nagar Haveli"/>
        <s v="Daman &amp; Diu"/>
        <s v="Delhi #"/>
        <s v="Goa"/>
        <s v="Gujarat"/>
        <s v="Haryana"/>
        <s v="Himachal Pradesh"/>
        <s v="J&amp;K"/>
        <s v="Jharkhand"/>
        <s v="Karnataka"/>
        <s v="Kerala"/>
        <s v="Ladakh"/>
        <s v="Lakshdweep"/>
        <s v="Madhya Pradesh"/>
        <s v="Maharashtra #"/>
        <s v="Manipur"/>
        <s v="Meghalaya"/>
        <s v="Mizoram"/>
        <s v="Nagaland"/>
        <s v="Odisha"/>
        <s v="Puducherry"/>
        <s v="Punjab"/>
        <s v="Rajasthan"/>
        <s v="Sikkim"/>
        <s v="Tamil Nadu"/>
        <s v="Telengana"/>
        <s v="Tripura"/>
        <s v="Uttar Pradesh"/>
        <s v="Uttarakhand"/>
        <s v="West Bengal"/>
      </sharedItems>
    </cacheField>
    <cacheField name="[Measures].[Sum of Total_Vistor]" caption="Sum of Total_Vistor" numFmtId="0" hierarchy="15" level="32767"/>
  </cacheFields>
  <cacheHierarchies count="27">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fieldsUsage count="2">
        <fieldUsage x="-1"/>
        <fieldUsage x="0"/>
      </fieldsUsage>
    </cacheHierarchy>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hidden="1">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hidden="1">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hidden="1">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hidden="1">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hidden="1">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hidden="1">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hidden="1">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hidden="1">
      <extLst>
        <ext xmlns:x15="http://schemas.microsoft.com/office/spreadsheetml/2010/11/main" uri="{B97F6D7D-B522-45F9-BDA1-12C45D357490}">
          <x15:cacheHierarchy aggregatedColumn="8"/>
        </ext>
      </extLst>
    </cacheHierarchy>
    <cacheHierarchy uniqueName="[Measures].[Average of Growth rate - DTV  2020/19]" caption="Average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Average of Growth rate - FTV 2020/19]" caption="Average of Growth rate - FTV 2020/19"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22.756176967596" backgroundQuery="1" createdVersion="8" refreshedVersion="8" minRefreshableVersion="3" recordCount="0" supportSubquery="1" supportAdvancedDrill="1" xr:uid="{F0897420-E358-4215-B6EC-F9DF6ED0A1DA}">
  <cacheSource type="external" connectionId="3"/>
  <cacheFields count="3">
    <cacheField name="[Measures].[Average of Growth rate - DTV  2020/19]" caption="Average of Growth rate - DTV  2020/19" numFmtId="0" hierarchy="25" level="32767"/>
    <cacheField name="[Measures].[Average of Growth rate - FTV 2020/19]" caption="Average of Growth rate - FTV 2020/19" numFmtId="0" hierarchy="26" level="32767"/>
    <cacheField name="[Range].[States/UTs *].[States/UTs *]" caption="States/UTs *" numFmtId="0" hierarchy="1" level="1">
      <sharedItems containsSemiMixedTypes="0" containsNonDate="0" containsString="0"/>
    </cacheField>
  </cacheFields>
  <cacheHierarchies count="27">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fieldsUsage count="2">
        <fieldUsage x="-1"/>
        <fieldUsage x="2"/>
      </fieldsUsage>
    </cacheHierarchy>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hidden="1">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hidden="1">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hidden="1">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hidden="1">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hidden="1">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hidden="1">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hidden="1">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hidden="1">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hidden="1">
      <extLst>
        <ext xmlns:x15="http://schemas.microsoft.com/office/spreadsheetml/2010/11/main" uri="{B97F6D7D-B522-45F9-BDA1-12C45D357490}">
          <x15:cacheHierarchy aggregatedColumn="8"/>
        </ext>
      </extLst>
    </cacheHierarchy>
    <cacheHierarchy uniqueName="[Measures].[Average of Growth rate - DTV  2020/19]" caption="Average of Growth rate - DTV  2020/19"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Growth rate - FTV 2020/19]" caption="Average of Growth rate - FTV 2020/19"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L" refreshedDate="46118.801452662039" backgroundQuery="1" createdVersion="3" refreshedVersion="8" minRefreshableVersion="3" recordCount="0" supportSubquery="1" supportAdvancedDrill="1" xr:uid="{D902FE0A-3751-4670-A8C5-526219940B56}">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Range].[S. No.]" caption="S. No." attribute="1" defaultMemberUniqueName="[Range].[S. No.].[All]" allUniqueName="[Range].[S. No.].[All]" dimensionUniqueName="[Range]" displayFolder="" count="0" memberValueDatatype="130" unbalanced="0"/>
    <cacheHierarchy uniqueName="[Range].[States/UTs *]" caption="States/UTs *" attribute="1" defaultMemberUniqueName="[Range].[States/UTs *].[All]" allUniqueName="[Range].[States/UTs *].[All]" dimensionUniqueName="[Range]" displayFolder="" count="2" memberValueDatatype="130" unbalanced="0"/>
    <cacheHierarchy uniqueName="[Range].[Domestic -2019]" caption="Domestic -2019" attribute="1" defaultMemberUniqueName="[Range].[Domestic -2019].[All]" allUniqueName="[Range].[Domestic -2019].[All]" dimensionUniqueName="[Range]" displayFolder="" count="0" memberValueDatatype="20" unbalanced="0"/>
    <cacheHierarchy uniqueName="[Range].[Foreign - 2019]" caption="Foreign - 2019" attribute="1" defaultMemberUniqueName="[Range].[Foreign - 2019].[All]" allUniqueName="[Range].[Foreign - 2019].[All]" dimensionUniqueName="[Range]" displayFolder="" count="0" memberValueDatatype="20" unbalanced="0"/>
    <cacheHierarchy uniqueName="[Range].[Domestic -2020]" caption="Domestic -2020" attribute="1" defaultMemberUniqueName="[Range].[Domestic -2020].[All]" allUniqueName="[Range].[Domestic -2020].[All]" dimensionUniqueName="[Range]" displayFolder="" count="0" memberValueDatatype="20" unbalanced="0"/>
    <cacheHierarchy uniqueName="[Range].[Foreign - 2020]" caption="Foreign - 2020" attribute="1" defaultMemberUniqueName="[Range].[Foreign - 2020].[All]" allUniqueName="[Range].[Foreign - 2020].[All]" dimensionUniqueName="[Range]" displayFolder="" count="0" memberValueDatatype="20" unbalanced="0"/>
    <cacheHierarchy uniqueName="[Range].[Total_visitor_Foreign]" caption="Total_visitor_Foreign" attribute="1" defaultMemberUniqueName="[Range].[Total_visitor_Foreign].[All]" allUniqueName="[Range].[Total_visitor_Foreign].[All]" dimensionUniqueName="[Range]" displayFolder="" count="0" memberValueDatatype="20" unbalanced="0"/>
    <cacheHierarchy uniqueName="[Range].[Total_Vistor_Domestic]" caption="Total_Vistor_Domestic" attribute="1" defaultMemberUniqueName="[Range].[Total_Vistor_Domestic].[All]" allUniqueName="[Range].[Total_Vistor_Domestic].[All]" dimensionUniqueName="[Range]" displayFolder="" count="0" memberValueDatatype="20" unbalanced="0"/>
    <cacheHierarchy uniqueName="[Range].[Total_Vistor]" caption="Total_Vistor" attribute="1" defaultMemberUniqueName="[Range].[Total_Vistor].[All]" allUniqueName="[Range].[Total_Vistor].[All]" dimensionUniqueName="[Range]" displayFolder="" count="0" memberValueDatatype="20" unbalanced="0"/>
    <cacheHierarchy uniqueName="[Range].[Growth rate - DTV  2020/19]" caption="Growth rate - DTV  2020/19" attribute="1" defaultMemberUniqueName="[Range].[Growth rate - DTV  2020/19].[All]" allUniqueName="[Range].[Growth rate - DTV  2020/19].[All]" dimensionUniqueName="[Range]" displayFolder="" count="0" memberValueDatatype="5" unbalanced="0"/>
    <cacheHierarchy uniqueName="[Range].[Growth rate - FTV 2020/19]" caption="Growth rate - FTV 2020/19" attribute="1" defaultMemberUniqueName="[Range].[Growth rate - FTV 2020/19].[All]" allUniqueName="[Range].[Growth rate - FTV 2020/19].[All]" dimensionUniqueName="[Range]" displayFolder="" count="0" memberValueDatatype="5" unbalanced="0"/>
    <cacheHierarchy uniqueName="[Range].[Foreign Share]" caption="Foreign Share" attribute="1" defaultMemberUniqueName="[Range].[Foreign Share].[All]" allUniqueName="[Range].[Foreign Share].[All]" dimensionUniqueName="[Range]" displayFolder="" count="0" memberValueDatatype="5" unbalanced="0"/>
    <cacheHierarchy uniqueName="[Range].[Tourism Zone]" caption="Tourism Zone" attribute="1" defaultMemberUniqueName="[Range].[Tourism Zone].[All]" allUniqueName="[Range].[Tourism Zon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Vistor]" caption="Sum of Total_Vistor" measure="1" displayFolder="" measureGroup="Range" count="0" hidden="1">
      <extLst>
        <ext xmlns:x15="http://schemas.microsoft.com/office/spreadsheetml/2010/11/main" uri="{B97F6D7D-B522-45F9-BDA1-12C45D357490}">
          <x15:cacheHierarchy aggregatedColumn="8"/>
        </ext>
      </extLst>
    </cacheHierarchy>
    <cacheHierarchy uniqueName="[Measures].[Sum of Total_Vistor_Domestic]" caption="Sum of Total_Vistor_Domestic" measure="1" displayFolder="" measureGroup="Range" count="0" hidden="1">
      <extLst>
        <ext xmlns:x15="http://schemas.microsoft.com/office/spreadsheetml/2010/11/main" uri="{B97F6D7D-B522-45F9-BDA1-12C45D357490}">
          <x15:cacheHierarchy aggregatedColumn="7"/>
        </ext>
      </extLst>
    </cacheHierarchy>
    <cacheHierarchy uniqueName="[Measures].[Sum of Total_visitor_Foreign]" caption="Sum of Total_visitor_Foreign" measure="1" displayFolder="" measureGroup="Range" count="0" hidden="1">
      <extLst>
        <ext xmlns:x15="http://schemas.microsoft.com/office/spreadsheetml/2010/11/main" uri="{B97F6D7D-B522-45F9-BDA1-12C45D357490}">
          <x15:cacheHierarchy aggregatedColumn="6"/>
        </ext>
      </extLst>
    </cacheHierarchy>
    <cacheHierarchy uniqueName="[Measures].[Sum of Growth rate - DTV  2020/19]" caption="Sum of Growth rate - DTV  2020/19" measure="1" displayFolder="" measureGroup="Range" count="0" hidden="1">
      <extLst>
        <ext xmlns:x15="http://schemas.microsoft.com/office/spreadsheetml/2010/11/main" uri="{B97F6D7D-B522-45F9-BDA1-12C45D357490}">
          <x15:cacheHierarchy aggregatedColumn="9"/>
        </ext>
      </extLst>
    </cacheHierarchy>
    <cacheHierarchy uniqueName="[Measures].[Sum of Growth rate - FTV 2020/19]" caption="Sum of Growth rate - FTV 2020/19" measure="1" displayFolder="" measureGroup="Range" count="0" hidden="1">
      <extLst>
        <ext xmlns:x15="http://schemas.microsoft.com/office/spreadsheetml/2010/11/main" uri="{B97F6D7D-B522-45F9-BDA1-12C45D357490}">
          <x15:cacheHierarchy aggregatedColumn="10"/>
        </ext>
      </extLst>
    </cacheHierarchy>
    <cacheHierarchy uniqueName="[Measures].[Sum of Domestic -2019]" caption="Sum of Domestic -2019" measure="1" displayFolder="" measureGroup="Range" count="0" hidden="1">
      <extLst>
        <ext xmlns:x15="http://schemas.microsoft.com/office/spreadsheetml/2010/11/main" uri="{B97F6D7D-B522-45F9-BDA1-12C45D357490}">
          <x15:cacheHierarchy aggregatedColumn="2"/>
        </ext>
      </extLst>
    </cacheHierarchy>
    <cacheHierarchy uniqueName="[Measures].[Sum of Foreign - 2019]" caption="Sum of Foreign - 2019" measure="1" displayFolder="" measureGroup="Range" count="0" hidden="1">
      <extLst>
        <ext xmlns:x15="http://schemas.microsoft.com/office/spreadsheetml/2010/11/main" uri="{B97F6D7D-B522-45F9-BDA1-12C45D357490}">
          <x15:cacheHierarchy aggregatedColumn="3"/>
        </ext>
      </extLst>
    </cacheHierarchy>
    <cacheHierarchy uniqueName="[Measures].[Sum of Foreign - 2020]" caption="Sum of Foreign - 2020" measure="1" displayFolder="" measureGroup="Range" count="0" hidden="1">
      <extLst>
        <ext xmlns:x15="http://schemas.microsoft.com/office/spreadsheetml/2010/11/main" uri="{B97F6D7D-B522-45F9-BDA1-12C45D357490}">
          <x15:cacheHierarchy aggregatedColumn="5"/>
        </ext>
      </extLst>
    </cacheHierarchy>
    <cacheHierarchy uniqueName="[Measures].[Sum of Domestic -2020]" caption="Sum of Domestic -2020" measure="1" displayFolder="" measureGroup="Range" count="0" hidden="1">
      <extLst>
        <ext xmlns:x15="http://schemas.microsoft.com/office/spreadsheetml/2010/11/main" uri="{B97F6D7D-B522-45F9-BDA1-12C45D357490}">
          <x15:cacheHierarchy aggregatedColumn="4"/>
        </ext>
      </extLst>
    </cacheHierarchy>
    <cacheHierarchy uniqueName="[Measures].[Min of Total_Vistor]" caption="Min of Total_Vistor"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3378080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ECEDA-F88B-44AE-AB0C-644700A12366}" name="PivotTable8" cacheId="4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86:F8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Growth rate - DTV  2020/19" fld="0" subtotal="average" baseField="0" baseItem="0"/>
    <dataField name="Average of Growth rate - FTV 2020/19" fld="1" subtotal="average" baseField="0" baseItem="0"/>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of Total_Vistor"/>
    <pivotHierarchy dragToData="1" caption="Average of Growth rate - DTV  2020/19"/>
    <pivotHierarchy dragToData="1" caption="Average of Growth rate - FTV 2020/19"/>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6584B9-F56B-4083-8A9A-B5301E8E939B}" name="PivotTable7" cacheId="4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175:B213" firstHeaderRow="1" firstDataRow="1" firstDataCol="1"/>
  <pivotFields count="2">
    <pivotField axis="axisRow" allDrilled="1" subtotalTop="0" showAll="0" sortType="descending"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8">
    <i>
      <x v="31"/>
    </i>
    <i>
      <x v="34"/>
    </i>
    <i>
      <x v="1"/>
    </i>
    <i>
      <x v="16"/>
    </i>
    <i>
      <x v="21"/>
    </i>
    <i>
      <x v="32"/>
    </i>
    <i>
      <x v="36"/>
    </i>
    <i>
      <x v="20"/>
    </i>
    <i>
      <x v="11"/>
    </i>
    <i>
      <x v="29"/>
    </i>
    <i>
      <x v="28"/>
    </i>
    <i>
      <x v="9"/>
    </i>
    <i>
      <x v="35"/>
    </i>
    <i>
      <x v="4"/>
    </i>
    <i>
      <x v="15"/>
    </i>
    <i>
      <x v="17"/>
    </i>
    <i>
      <x v="13"/>
    </i>
    <i>
      <x v="6"/>
    </i>
    <i>
      <x v="26"/>
    </i>
    <i>
      <x v="14"/>
    </i>
    <i>
      <x v="10"/>
    </i>
    <i>
      <x v="3"/>
    </i>
    <i>
      <x v="12"/>
    </i>
    <i>
      <x v="27"/>
    </i>
    <i>
      <x v="5"/>
    </i>
    <i>
      <x v="30"/>
    </i>
    <i>
      <x v="23"/>
    </i>
    <i>
      <x v="8"/>
    </i>
    <i>
      <x v="33"/>
    </i>
    <i>
      <x v="7"/>
    </i>
    <i>
      <x/>
    </i>
    <i>
      <x v="2"/>
    </i>
    <i>
      <x v="18"/>
    </i>
    <i>
      <x v="22"/>
    </i>
    <i>
      <x v="24"/>
    </i>
    <i>
      <x v="25"/>
    </i>
    <i>
      <x v="19"/>
    </i>
    <i t="grand">
      <x/>
    </i>
  </rowItems>
  <colItems count="1">
    <i/>
  </colItems>
  <dataFields count="1">
    <dataField name="Sum of Total_Vistor" fld="1" baseField="0" baseItem="6" numFmtId="164"/>
  </dataFields>
  <chartFormats count="4">
    <chartFormat chart="1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3FEF2-ECD7-4152-BBAD-2EE945560DA7}" name="PivotTable2" cacheId="4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41" firstHeaderRow="1" firstDataRow="1" firstDataCol="1"/>
  <pivotFields count="2">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_Vistor" fld="1" showDataAs="percentOfTotal" baseField="0" baseItem="0" numFmtId="10"/>
  </dataFields>
  <chartFormats count="119">
    <chartFormat chart="9" format="0" series="1">
      <pivotArea type="data" outline="0" fieldPosition="0">
        <references count="1">
          <reference field="4294967294" count="1" selected="0">
            <x v="0"/>
          </reference>
        </references>
      </pivotArea>
    </chartFormat>
    <chartFormat chart="14" format="39" series="1">
      <pivotArea type="data" outline="0" fieldPosition="0">
        <references count="1">
          <reference field="4294967294" count="1" selected="0">
            <x v="0"/>
          </reference>
        </references>
      </pivotArea>
    </chartFormat>
    <chartFormat chart="14" format="40">
      <pivotArea type="data" outline="0" fieldPosition="0">
        <references count="2">
          <reference field="4294967294" count="1" selected="0">
            <x v="0"/>
          </reference>
          <reference field="0" count="1" selected="0">
            <x v="0"/>
          </reference>
        </references>
      </pivotArea>
    </chartFormat>
    <chartFormat chart="14" format="41">
      <pivotArea type="data" outline="0" fieldPosition="0">
        <references count="2">
          <reference field="4294967294" count="1" selected="0">
            <x v="0"/>
          </reference>
          <reference field="0" count="1" selected="0">
            <x v="1"/>
          </reference>
        </references>
      </pivotArea>
    </chartFormat>
    <chartFormat chart="14" format="42">
      <pivotArea type="data" outline="0" fieldPosition="0">
        <references count="2">
          <reference field="4294967294" count="1" selected="0">
            <x v="0"/>
          </reference>
          <reference field="0" count="1" selected="0">
            <x v="2"/>
          </reference>
        </references>
      </pivotArea>
    </chartFormat>
    <chartFormat chart="14" format="43">
      <pivotArea type="data" outline="0" fieldPosition="0">
        <references count="2">
          <reference field="4294967294" count="1" selected="0">
            <x v="0"/>
          </reference>
          <reference field="0" count="1" selected="0">
            <x v="3"/>
          </reference>
        </references>
      </pivotArea>
    </chartFormat>
    <chartFormat chart="14" format="44">
      <pivotArea type="data" outline="0" fieldPosition="0">
        <references count="2">
          <reference field="4294967294" count="1" selected="0">
            <x v="0"/>
          </reference>
          <reference field="0" count="1" selected="0">
            <x v="4"/>
          </reference>
        </references>
      </pivotArea>
    </chartFormat>
    <chartFormat chart="14" format="45">
      <pivotArea type="data" outline="0" fieldPosition="0">
        <references count="2">
          <reference field="4294967294" count="1" selected="0">
            <x v="0"/>
          </reference>
          <reference field="0" count="1" selected="0">
            <x v="5"/>
          </reference>
        </references>
      </pivotArea>
    </chartFormat>
    <chartFormat chart="14" format="46">
      <pivotArea type="data" outline="0" fieldPosition="0">
        <references count="2">
          <reference field="4294967294" count="1" selected="0">
            <x v="0"/>
          </reference>
          <reference field="0" count="1" selected="0">
            <x v="6"/>
          </reference>
        </references>
      </pivotArea>
    </chartFormat>
    <chartFormat chart="14" format="47">
      <pivotArea type="data" outline="0" fieldPosition="0">
        <references count="2">
          <reference field="4294967294" count="1" selected="0">
            <x v="0"/>
          </reference>
          <reference field="0" count="1" selected="0">
            <x v="7"/>
          </reference>
        </references>
      </pivotArea>
    </chartFormat>
    <chartFormat chart="14" format="48">
      <pivotArea type="data" outline="0" fieldPosition="0">
        <references count="2">
          <reference field="4294967294" count="1" selected="0">
            <x v="0"/>
          </reference>
          <reference field="0" count="1" selected="0">
            <x v="8"/>
          </reference>
        </references>
      </pivotArea>
    </chartFormat>
    <chartFormat chart="14" format="49">
      <pivotArea type="data" outline="0" fieldPosition="0">
        <references count="2">
          <reference field="4294967294" count="1" selected="0">
            <x v="0"/>
          </reference>
          <reference field="0" count="1" selected="0">
            <x v="9"/>
          </reference>
        </references>
      </pivotArea>
    </chartFormat>
    <chartFormat chart="14" format="50">
      <pivotArea type="data" outline="0" fieldPosition="0">
        <references count="2">
          <reference field="4294967294" count="1" selected="0">
            <x v="0"/>
          </reference>
          <reference field="0" count="1" selected="0">
            <x v="10"/>
          </reference>
        </references>
      </pivotArea>
    </chartFormat>
    <chartFormat chart="14" format="51">
      <pivotArea type="data" outline="0" fieldPosition="0">
        <references count="2">
          <reference field="4294967294" count="1" selected="0">
            <x v="0"/>
          </reference>
          <reference field="0" count="1" selected="0">
            <x v="11"/>
          </reference>
        </references>
      </pivotArea>
    </chartFormat>
    <chartFormat chart="14" format="52">
      <pivotArea type="data" outline="0" fieldPosition="0">
        <references count="2">
          <reference field="4294967294" count="1" selected="0">
            <x v="0"/>
          </reference>
          <reference field="0" count="1" selected="0">
            <x v="12"/>
          </reference>
        </references>
      </pivotArea>
    </chartFormat>
    <chartFormat chart="14" format="53">
      <pivotArea type="data" outline="0" fieldPosition="0">
        <references count="2">
          <reference field="4294967294" count="1" selected="0">
            <x v="0"/>
          </reference>
          <reference field="0" count="1" selected="0">
            <x v="13"/>
          </reference>
        </references>
      </pivotArea>
    </chartFormat>
    <chartFormat chart="14" format="54">
      <pivotArea type="data" outline="0" fieldPosition="0">
        <references count="2">
          <reference field="4294967294" count="1" selected="0">
            <x v="0"/>
          </reference>
          <reference field="0" count="1" selected="0">
            <x v="14"/>
          </reference>
        </references>
      </pivotArea>
    </chartFormat>
    <chartFormat chart="14" format="55">
      <pivotArea type="data" outline="0" fieldPosition="0">
        <references count="2">
          <reference field="4294967294" count="1" selected="0">
            <x v="0"/>
          </reference>
          <reference field="0" count="1" selected="0">
            <x v="15"/>
          </reference>
        </references>
      </pivotArea>
    </chartFormat>
    <chartFormat chart="14" format="56">
      <pivotArea type="data" outline="0" fieldPosition="0">
        <references count="2">
          <reference field="4294967294" count="1" selected="0">
            <x v="0"/>
          </reference>
          <reference field="0" count="1" selected="0">
            <x v="16"/>
          </reference>
        </references>
      </pivotArea>
    </chartFormat>
    <chartFormat chart="14" format="57">
      <pivotArea type="data" outline="0" fieldPosition="0">
        <references count="2">
          <reference field="4294967294" count="1" selected="0">
            <x v="0"/>
          </reference>
          <reference field="0" count="1" selected="0">
            <x v="17"/>
          </reference>
        </references>
      </pivotArea>
    </chartFormat>
    <chartFormat chart="14" format="58">
      <pivotArea type="data" outline="0" fieldPosition="0">
        <references count="2">
          <reference field="4294967294" count="1" selected="0">
            <x v="0"/>
          </reference>
          <reference field="0" count="1" selected="0">
            <x v="18"/>
          </reference>
        </references>
      </pivotArea>
    </chartFormat>
    <chartFormat chart="14" format="59">
      <pivotArea type="data" outline="0" fieldPosition="0">
        <references count="2">
          <reference field="4294967294" count="1" selected="0">
            <x v="0"/>
          </reference>
          <reference field="0" count="1" selected="0">
            <x v="19"/>
          </reference>
        </references>
      </pivotArea>
    </chartFormat>
    <chartFormat chart="14" format="60">
      <pivotArea type="data" outline="0" fieldPosition="0">
        <references count="2">
          <reference field="4294967294" count="1" selected="0">
            <x v="0"/>
          </reference>
          <reference field="0" count="1" selected="0">
            <x v="20"/>
          </reference>
        </references>
      </pivotArea>
    </chartFormat>
    <chartFormat chart="14" format="61">
      <pivotArea type="data" outline="0" fieldPosition="0">
        <references count="2">
          <reference field="4294967294" count="1" selected="0">
            <x v="0"/>
          </reference>
          <reference field="0" count="1" selected="0">
            <x v="21"/>
          </reference>
        </references>
      </pivotArea>
    </chartFormat>
    <chartFormat chart="14" format="62">
      <pivotArea type="data" outline="0" fieldPosition="0">
        <references count="2">
          <reference field="4294967294" count="1" selected="0">
            <x v="0"/>
          </reference>
          <reference field="0" count="1" selected="0">
            <x v="22"/>
          </reference>
        </references>
      </pivotArea>
    </chartFormat>
    <chartFormat chart="14" format="63">
      <pivotArea type="data" outline="0" fieldPosition="0">
        <references count="2">
          <reference field="4294967294" count="1" selected="0">
            <x v="0"/>
          </reference>
          <reference field="0" count="1" selected="0">
            <x v="23"/>
          </reference>
        </references>
      </pivotArea>
    </chartFormat>
    <chartFormat chart="14" format="64">
      <pivotArea type="data" outline="0" fieldPosition="0">
        <references count="2">
          <reference field="4294967294" count="1" selected="0">
            <x v="0"/>
          </reference>
          <reference field="0" count="1" selected="0">
            <x v="24"/>
          </reference>
        </references>
      </pivotArea>
    </chartFormat>
    <chartFormat chart="14" format="65">
      <pivotArea type="data" outline="0" fieldPosition="0">
        <references count="2">
          <reference field="4294967294" count="1" selected="0">
            <x v="0"/>
          </reference>
          <reference field="0" count="1" selected="0">
            <x v="25"/>
          </reference>
        </references>
      </pivotArea>
    </chartFormat>
    <chartFormat chart="14" format="66">
      <pivotArea type="data" outline="0" fieldPosition="0">
        <references count="2">
          <reference field="4294967294" count="1" selected="0">
            <x v="0"/>
          </reference>
          <reference field="0" count="1" selected="0">
            <x v="26"/>
          </reference>
        </references>
      </pivotArea>
    </chartFormat>
    <chartFormat chart="14" format="67">
      <pivotArea type="data" outline="0" fieldPosition="0">
        <references count="2">
          <reference field="4294967294" count="1" selected="0">
            <x v="0"/>
          </reference>
          <reference field="0" count="1" selected="0">
            <x v="27"/>
          </reference>
        </references>
      </pivotArea>
    </chartFormat>
    <chartFormat chart="14" format="68">
      <pivotArea type="data" outline="0" fieldPosition="0">
        <references count="2">
          <reference field="4294967294" count="1" selected="0">
            <x v="0"/>
          </reference>
          <reference field="0" count="1" selected="0">
            <x v="28"/>
          </reference>
        </references>
      </pivotArea>
    </chartFormat>
    <chartFormat chart="14" format="69">
      <pivotArea type="data" outline="0" fieldPosition="0">
        <references count="2">
          <reference field="4294967294" count="1" selected="0">
            <x v="0"/>
          </reference>
          <reference field="0" count="1" selected="0">
            <x v="29"/>
          </reference>
        </references>
      </pivotArea>
    </chartFormat>
    <chartFormat chart="14" format="70">
      <pivotArea type="data" outline="0" fieldPosition="0">
        <references count="2">
          <reference field="4294967294" count="1" selected="0">
            <x v="0"/>
          </reference>
          <reference field="0" count="1" selected="0">
            <x v="30"/>
          </reference>
        </references>
      </pivotArea>
    </chartFormat>
    <chartFormat chart="14" format="71">
      <pivotArea type="data" outline="0" fieldPosition="0">
        <references count="2">
          <reference field="4294967294" count="1" selected="0">
            <x v="0"/>
          </reference>
          <reference field="0" count="1" selected="0">
            <x v="31"/>
          </reference>
        </references>
      </pivotArea>
    </chartFormat>
    <chartFormat chart="14" format="72">
      <pivotArea type="data" outline="0" fieldPosition="0">
        <references count="2">
          <reference field="4294967294" count="1" selected="0">
            <x v="0"/>
          </reference>
          <reference field="0" count="1" selected="0">
            <x v="32"/>
          </reference>
        </references>
      </pivotArea>
    </chartFormat>
    <chartFormat chart="14" format="73">
      <pivotArea type="data" outline="0" fieldPosition="0">
        <references count="2">
          <reference field="4294967294" count="1" selected="0">
            <x v="0"/>
          </reference>
          <reference field="0" count="1" selected="0">
            <x v="33"/>
          </reference>
        </references>
      </pivotArea>
    </chartFormat>
    <chartFormat chart="14" format="74">
      <pivotArea type="data" outline="0" fieldPosition="0">
        <references count="2">
          <reference field="4294967294" count="1" selected="0">
            <x v="0"/>
          </reference>
          <reference field="0" count="1" selected="0">
            <x v="34"/>
          </reference>
        </references>
      </pivotArea>
    </chartFormat>
    <chartFormat chart="14" format="75">
      <pivotArea type="data" outline="0" fieldPosition="0">
        <references count="2">
          <reference field="4294967294" count="1" selected="0">
            <x v="0"/>
          </reference>
          <reference field="0" count="1" selected="0">
            <x v="35"/>
          </reference>
        </references>
      </pivotArea>
    </chartFormat>
    <chartFormat chart="14" format="76">
      <pivotArea type="data" outline="0" fieldPosition="0">
        <references count="2">
          <reference field="4294967294" count="1" selected="0">
            <x v="0"/>
          </reference>
          <reference field="0" count="1" selected="0">
            <x v="36"/>
          </reference>
        </references>
      </pivotArea>
    </chartFormat>
    <chartFormat chart="17" format="115" series="1">
      <pivotArea type="data" outline="0" fieldPosition="0">
        <references count="1">
          <reference field="4294967294" count="1" selected="0">
            <x v="0"/>
          </reference>
        </references>
      </pivotArea>
    </chartFormat>
    <chartFormat chart="17" format="116">
      <pivotArea type="data" outline="0" fieldPosition="0">
        <references count="2">
          <reference field="4294967294" count="1" selected="0">
            <x v="0"/>
          </reference>
          <reference field="0" count="1" selected="0">
            <x v="0"/>
          </reference>
        </references>
      </pivotArea>
    </chartFormat>
    <chartFormat chart="17" format="117">
      <pivotArea type="data" outline="0" fieldPosition="0">
        <references count="2">
          <reference field="4294967294" count="1" selected="0">
            <x v="0"/>
          </reference>
          <reference field="0" count="1" selected="0">
            <x v="1"/>
          </reference>
        </references>
      </pivotArea>
    </chartFormat>
    <chartFormat chart="17" format="118">
      <pivotArea type="data" outline="0" fieldPosition="0">
        <references count="2">
          <reference field="4294967294" count="1" selected="0">
            <x v="0"/>
          </reference>
          <reference field="0" count="1" selected="0">
            <x v="2"/>
          </reference>
        </references>
      </pivotArea>
    </chartFormat>
    <chartFormat chart="17" format="119">
      <pivotArea type="data" outline="0" fieldPosition="0">
        <references count="2">
          <reference field="4294967294" count="1" selected="0">
            <x v="0"/>
          </reference>
          <reference field="0" count="1" selected="0">
            <x v="3"/>
          </reference>
        </references>
      </pivotArea>
    </chartFormat>
    <chartFormat chart="17" format="120">
      <pivotArea type="data" outline="0" fieldPosition="0">
        <references count="2">
          <reference field="4294967294" count="1" selected="0">
            <x v="0"/>
          </reference>
          <reference field="0" count="1" selected="0">
            <x v="4"/>
          </reference>
        </references>
      </pivotArea>
    </chartFormat>
    <chartFormat chart="17" format="121">
      <pivotArea type="data" outline="0" fieldPosition="0">
        <references count="2">
          <reference field="4294967294" count="1" selected="0">
            <x v="0"/>
          </reference>
          <reference field="0" count="1" selected="0">
            <x v="5"/>
          </reference>
        </references>
      </pivotArea>
    </chartFormat>
    <chartFormat chart="17" format="122">
      <pivotArea type="data" outline="0" fieldPosition="0">
        <references count="2">
          <reference field="4294967294" count="1" selected="0">
            <x v="0"/>
          </reference>
          <reference field="0" count="1" selected="0">
            <x v="6"/>
          </reference>
        </references>
      </pivotArea>
    </chartFormat>
    <chartFormat chart="17" format="123">
      <pivotArea type="data" outline="0" fieldPosition="0">
        <references count="2">
          <reference field="4294967294" count="1" selected="0">
            <x v="0"/>
          </reference>
          <reference field="0" count="1" selected="0">
            <x v="7"/>
          </reference>
        </references>
      </pivotArea>
    </chartFormat>
    <chartFormat chart="17" format="124">
      <pivotArea type="data" outline="0" fieldPosition="0">
        <references count="2">
          <reference field="4294967294" count="1" selected="0">
            <x v="0"/>
          </reference>
          <reference field="0" count="1" selected="0">
            <x v="8"/>
          </reference>
        </references>
      </pivotArea>
    </chartFormat>
    <chartFormat chart="17" format="125">
      <pivotArea type="data" outline="0" fieldPosition="0">
        <references count="2">
          <reference field="4294967294" count="1" selected="0">
            <x v="0"/>
          </reference>
          <reference field="0" count="1" selected="0">
            <x v="9"/>
          </reference>
        </references>
      </pivotArea>
    </chartFormat>
    <chartFormat chart="17" format="126">
      <pivotArea type="data" outline="0" fieldPosition="0">
        <references count="2">
          <reference field="4294967294" count="1" selected="0">
            <x v="0"/>
          </reference>
          <reference field="0" count="1" selected="0">
            <x v="10"/>
          </reference>
        </references>
      </pivotArea>
    </chartFormat>
    <chartFormat chart="17" format="127">
      <pivotArea type="data" outline="0" fieldPosition="0">
        <references count="2">
          <reference field="4294967294" count="1" selected="0">
            <x v="0"/>
          </reference>
          <reference field="0" count="1" selected="0">
            <x v="11"/>
          </reference>
        </references>
      </pivotArea>
    </chartFormat>
    <chartFormat chart="17" format="128">
      <pivotArea type="data" outline="0" fieldPosition="0">
        <references count="2">
          <reference field="4294967294" count="1" selected="0">
            <x v="0"/>
          </reference>
          <reference field="0" count="1" selected="0">
            <x v="12"/>
          </reference>
        </references>
      </pivotArea>
    </chartFormat>
    <chartFormat chart="17" format="129">
      <pivotArea type="data" outline="0" fieldPosition="0">
        <references count="2">
          <reference field="4294967294" count="1" selected="0">
            <x v="0"/>
          </reference>
          <reference field="0" count="1" selected="0">
            <x v="13"/>
          </reference>
        </references>
      </pivotArea>
    </chartFormat>
    <chartFormat chart="17" format="130">
      <pivotArea type="data" outline="0" fieldPosition="0">
        <references count="2">
          <reference field="4294967294" count="1" selected="0">
            <x v="0"/>
          </reference>
          <reference field="0" count="1" selected="0">
            <x v="14"/>
          </reference>
        </references>
      </pivotArea>
    </chartFormat>
    <chartFormat chart="17" format="131">
      <pivotArea type="data" outline="0" fieldPosition="0">
        <references count="2">
          <reference field="4294967294" count="1" selected="0">
            <x v="0"/>
          </reference>
          <reference field="0" count="1" selected="0">
            <x v="15"/>
          </reference>
        </references>
      </pivotArea>
    </chartFormat>
    <chartFormat chart="17" format="132">
      <pivotArea type="data" outline="0" fieldPosition="0">
        <references count="2">
          <reference field="4294967294" count="1" selected="0">
            <x v="0"/>
          </reference>
          <reference field="0" count="1" selected="0">
            <x v="16"/>
          </reference>
        </references>
      </pivotArea>
    </chartFormat>
    <chartFormat chart="17" format="133">
      <pivotArea type="data" outline="0" fieldPosition="0">
        <references count="2">
          <reference field="4294967294" count="1" selected="0">
            <x v="0"/>
          </reference>
          <reference field="0" count="1" selected="0">
            <x v="17"/>
          </reference>
        </references>
      </pivotArea>
    </chartFormat>
    <chartFormat chart="17" format="134">
      <pivotArea type="data" outline="0" fieldPosition="0">
        <references count="2">
          <reference field="4294967294" count="1" selected="0">
            <x v="0"/>
          </reference>
          <reference field="0" count="1" selected="0">
            <x v="18"/>
          </reference>
        </references>
      </pivotArea>
    </chartFormat>
    <chartFormat chart="17" format="135">
      <pivotArea type="data" outline="0" fieldPosition="0">
        <references count="2">
          <reference field="4294967294" count="1" selected="0">
            <x v="0"/>
          </reference>
          <reference field="0" count="1" selected="0">
            <x v="19"/>
          </reference>
        </references>
      </pivotArea>
    </chartFormat>
    <chartFormat chart="17" format="136">
      <pivotArea type="data" outline="0" fieldPosition="0">
        <references count="2">
          <reference field="4294967294" count="1" selected="0">
            <x v="0"/>
          </reference>
          <reference field="0" count="1" selected="0">
            <x v="20"/>
          </reference>
        </references>
      </pivotArea>
    </chartFormat>
    <chartFormat chart="17" format="137">
      <pivotArea type="data" outline="0" fieldPosition="0">
        <references count="2">
          <reference field="4294967294" count="1" selected="0">
            <x v="0"/>
          </reference>
          <reference field="0" count="1" selected="0">
            <x v="21"/>
          </reference>
        </references>
      </pivotArea>
    </chartFormat>
    <chartFormat chart="17" format="138">
      <pivotArea type="data" outline="0" fieldPosition="0">
        <references count="2">
          <reference field="4294967294" count="1" selected="0">
            <x v="0"/>
          </reference>
          <reference field="0" count="1" selected="0">
            <x v="22"/>
          </reference>
        </references>
      </pivotArea>
    </chartFormat>
    <chartFormat chart="17" format="139">
      <pivotArea type="data" outline="0" fieldPosition="0">
        <references count="2">
          <reference field="4294967294" count="1" selected="0">
            <x v="0"/>
          </reference>
          <reference field="0" count="1" selected="0">
            <x v="23"/>
          </reference>
        </references>
      </pivotArea>
    </chartFormat>
    <chartFormat chart="17" format="140">
      <pivotArea type="data" outline="0" fieldPosition="0">
        <references count="2">
          <reference field="4294967294" count="1" selected="0">
            <x v="0"/>
          </reference>
          <reference field="0" count="1" selected="0">
            <x v="24"/>
          </reference>
        </references>
      </pivotArea>
    </chartFormat>
    <chartFormat chart="17" format="141">
      <pivotArea type="data" outline="0" fieldPosition="0">
        <references count="2">
          <reference field="4294967294" count="1" selected="0">
            <x v="0"/>
          </reference>
          <reference field="0" count="1" selected="0">
            <x v="25"/>
          </reference>
        </references>
      </pivotArea>
    </chartFormat>
    <chartFormat chart="17" format="142">
      <pivotArea type="data" outline="0" fieldPosition="0">
        <references count="2">
          <reference field="4294967294" count="1" selected="0">
            <x v="0"/>
          </reference>
          <reference field="0" count="1" selected="0">
            <x v="26"/>
          </reference>
        </references>
      </pivotArea>
    </chartFormat>
    <chartFormat chart="17" format="143">
      <pivotArea type="data" outline="0" fieldPosition="0">
        <references count="2">
          <reference field="4294967294" count="1" selected="0">
            <x v="0"/>
          </reference>
          <reference field="0" count="1" selected="0">
            <x v="27"/>
          </reference>
        </references>
      </pivotArea>
    </chartFormat>
    <chartFormat chart="17" format="144">
      <pivotArea type="data" outline="0" fieldPosition="0">
        <references count="2">
          <reference field="4294967294" count="1" selected="0">
            <x v="0"/>
          </reference>
          <reference field="0" count="1" selected="0">
            <x v="28"/>
          </reference>
        </references>
      </pivotArea>
    </chartFormat>
    <chartFormat chart="17" format="145">
      <pivotArea type="data" outline="0" fieldPosition="0">
        <references count="2">
          <reference field="4294967294" count="1" selected="0">
            <x v="0"/>
          </reference>
          <reference field="0" count="1" selected="0">
            <x v="29"/>
          </reference>
        </references>
      </pivotArea>
    </chartFormat>
    <chartFormat chart="17" format="146">
      <pivotArea type="data" outline="0" fieldPosition="0">
        <references count="2">
          <reference field="4294967294" count="1" selected="0">
            <x v="0"/>
          </reference>
          <reference field="0" count="1" selected="0">
            <x v="30"/>
          </reference>
        </references>
      </pivotArea>
    </chartFormat>
    <chartFormat chart="17" format="147">
      <pivotArea type="data" outline="0" fieldPosition="0">
        <references count="2">
          <reference field="4294967294" count="1" selected="0">
            <x v="0"/>
          </reference>
          <reference field="0" count="1" selected="0">
            <x v="31"/>
          </reference>
        </references>
      </pivotArea>
    </chartFormat>
    <chartFormat chart="17" format="148">
      <pivotArea type="data" outline="0" fieldPosition="0">
        <references count="2">
          <reference field="4294967294" count="1" selected="0">
            <x v="0"/>
          </reference>
          <reference field="0" count="1" selected="0">
            <x v="32"/>
          </reference>
        </references>
      </pivotArea>
    </chartFormat>
    <chartFormat chart="17" format="149">
      <pivotArea type="data" outline="0" fieldPosition="0">
        <references count="2">
          <reference field="4294967294" count="1" selected="0">
            <x v="0"/>
          </reference>
          <reference field="0" count="1" selected="0">
            <x v="33"/>
          </reference>
        </references>
      </pivotArea>
    </chartFormat>
    <chartFormat chart="17" format="150">
      <pivotArea type="data" outline="0" fieldPosition="0">
        <references count="2">
          <reference field="4294967294" count="1" selected="0">
            <x v="0"/>
          </reference>
          <reference field="0" count="1" selected="0">
            <x v="34"/>
          </reference>
        </references>
      </pivotArea>
    </chartFormat>
    <chartFormat chart="17" format="151">
      <pivotArea type="data" outline="0" fieldPosition="0">
        <references count="2">
          <reference field="4294967294" count="1" selected="0">
            <x v="0"/>
          </reference>
          <reference field="0" count="1" selected="0">
            <x v="35"/>
          </reference>
        </references>
      </pivotArea>
    </chartFormat>
    <chartFormat chart="17" format="152">
      <pivotArea type="data" outline="0" fieldPosition="0">
        <references count="2">
          <reference field="4294967294" count="1" selected="0">
            <x v="0"/>
          </reference>
          <reference field="0" count="1" selected="0">
            <x v="36"/>
          </reference>
        </references>
      </pivotArea>
    </chartFormat>
    <chartFormat chart="19" format="179" series="1">
      <pivotArea type="data" outline="0" fieldPosition="0">
        <references count="1">
          <reference field="4294967294" count="1" selected="0">
            <x v="0"/>
          </reference>
        </references>
      </pivotArea>
    </chartFormat>
    <chartFormat chart="19" format="180">
      <pivotArea type="data" outline="0" fieldPosition="0">
        <references count="2">
          <reference field="4294967294" count="1" selected="0">
            <x v="0"/>
          </reference>
          <reference field="0" count="1" selected="0">
            <x v="0"/>
          </reference>
        </references>
      </pivotArea>
    </chartFormat>
    <chartFormat chart="19" format="181">
      <pivotArea type="data" outline="0" fieldPosition="0">
        <references count="2">
          <reference field="4294967294" count="1" selected="0">
            <x v="0"/>
          </reference>
          <reference field="0" count="1" selected="0">
            <x v="2"/>
          </reference>
        </references>
      </pivotArea>
    </chartFormat>
    <chartFormat chart="19" format="182">
      <pivotArea type="data" outline="0" fieldPosition="0">
        <references count="2">
          <reference field="4294967294" count="1" selected="0">
            <x v="0"/>
          </reference>
          <reference field="0" count="1" selected="0">
            <x v="3"/>
          </reference>
        </references>
      </pivotArea>
    </chartFormat>
    <chartFormat chart="19" format="183">
      <pivotArea type="data" outline="0" fieldPosition="0">
        <references count="2">
          <reference field="4294967294" count="1" selected="0">
            <x v="0"/>
          </reference>
          <reference field="0" count="1" selected="0">
            <x v="4"/>
          </reference>
        </references>
      </pivotArea>
    </chartFormat>
    <chartFormat chart="19" format="184">
      <pivotArea type="data" outline="0" fieldPosition="0">
        <references count="2">
          <reference field="4294967294" count="1" selected="0">
            <x v="0"/>
          </reference>
          <reference field="0" count="1" selected="0">
            <x v="5"/>
          </reference>
        </references>
      </pivotArea>
    </chartFormat>
    <chartFormat chart="19" format="185">
      <pivotArea type="data" outline="0" fieldPosition="0">
        <references count="2">
          <reference field="4294967294" count="1" selected="0">
            <x v="0"/>
          </reference>
          <reference field="0" count="1" selected="0">
            <x v="6"/>
          </reference>
        </references>
      </pivotArea>
    </chartFormat>
    <chartFormat chart="19" format="186">
      <pivotArea type="data" outline="0" fieldPosition="0">
        <references count="2">
          <reference field="4294967294" count="1" selected="0">
            <x v="0"/>
          </reference>
          <reference field="0" count="1" selected="0">
            <x v="7"/>
          </reference>
        </references>
      </pivotArea>
    </chartFormat>
    <chartFormat chart="19" format="187">
      <pivotArea type="data" outline="0" fieldPosition="0">
        <references count="2">
          <reference field="4294967294" count="1" selected="0">
            <x v="0"/>
          </reference>
          <reference field="0" count="1" selected="0">
            <x v="8"/>
          </reference>
        </references>
      </pivotArea>
    </chartFormat>
    <chartFormat chart="19" format="188">
      <pivotArea type="data" outline="0" fieldPosition="0">
        <references count="2">
          <reference field="4294967294" count="1" selected="0">
            <x v="0"/>
          </reference>
          <reference field="0" count="1" selected="0">
            <x v="9"/>
          </reference>
        </references>
      </pivotArea>
    </chartFormat>
    <chartFormat chart="19" format="189">
      <pivotArea type="data" outline="0" fieldPosition="0">
        <references count="2">
          <reference field="4294967294" count="1" selected="0">
            <x v="0"/>
          </reference>
          <reference field="0" count="1" selected="0">
            <x v="10"/>
          </reference>
        </references>
      </pivotArea>
    </chartFormat>
    <chartFormat chart="19" format="190">
      <pivotArea type="data" outline="0" fieldPosition="0">
        <references count="2">
          <reference field="4294967294" count="1" selected="0">
            <x v="0"/>
          </reference>
          <reference field="0" count="1" selected="0">
            <x v="11"/>
          </reference>
        </references>
      </pivotArea>
    </chartFormat>
    <chartFormat chart="19" format="191">
      <pivotArea type="data" outline="0" fieldPosition="0">
        <references count="2">
          <reference field="4294967294" count="1" selected="0">
            <x v="0"/>
          </reference>
          <reference field="0" count="1" selected="0">
            <x v="12"/>
          </reference>
        </references>
      </pivotArea>
    </chartFormat>
    <chartFormat chart="19" format="192">
      <pivotArea type="data" outline="0" fieldPosition="0">
        <references count="2">
          <reference field="4294967294" count="1" selected="0">
            <x v="0"/>
          </reference>
          <reference field="0" count="1" selected="0">
            <x v="13"/>
          </reference>
        </references>
      </pivotArea>
    </chartFormat>
    <chartFormat chart="19" format="193">
      <pivotArea type="data" outline="0" fieldPosition="0">
        <references count="2">
          <reference field="4294967294" count="1" selected="0">
            <x v="0"/>
          </reference>
          <reference field="0" count="1" selected="0">
            <x v="14"/>
          </reference>
        </references>
      </pivotArea>
    </chartFormat>
    <chartFormat chart="19" format="194">
      <pivotArea type="data" outline="0" fieldPosition="0">
        <references count="2">
          <reference field="4294967294" count="1" selected="0">
            <x v="0"/>
          </reference>
          <reference field="0" count="1" selected="0">
            <x v="15"/>
          </reference>
        </references>
      </pivotArea>
    </chartFormat>
    <chartFormat chart="19" format="195">
      <pivotArea type="data" outline="0" fieldPosition="0">
        <references count="2">
          <reference field="4294967294" count="1" selected="0">
            <x v="0"/>
          </reference>
          <reference field="0" count="1" selected="0">
            <x v="17"/>
          </reference>
        </references>
      </pivotArea>
    </chartFormat>
    <chartFormat chart="19" format="196">
      <pivotArea type="data" outline="0" fieldPosition="0">
        <references count="2">
          <reference field="4294967294" count="1" selected="0">
            <x v="0"/>
          </reference>
          <reference field="0" count="1" selected="0">
            <x v="18"/>
          </reference>
        </references>
      </pivotArea>
    </chartFormat>
    <chartFormat chart="19" format="197">
      <pivotArea type="data" outline="0" fieldPosition="0">
        <references count="2">
          <reference field="4294967294" count="1" selected="0">
            <x v="0"/>
          </reference>
          <reference field="0" count="1" selected="0">
            <x v="23"/>
          </reference>
        </references>
      </pivotArea>
    </chartFormat>
    <chartFormat chart="19" format="198">
      <pivotArea type="data" outline="0" fieldPosition="0">
        <references count="2">
          <reference field="4294967294" count="1" selected="0">
            <x v="0"/>
          </reference>
          <reference field="0" count="1" selected="0">
            <x v="26"/>
          </reference>
        </references>
      </pivotArea>
    </chartFormat>
    <chartFormat chart="19" format="199">
      <pivotArea type="data" outline="0" fieldPosition="0">
        <references count="2">
          <reference field="4294967294" count="1" selected="0">
            <x v="0"/>
          </reference>
          <reference field="0" count="1" selected="0">
            <x v="27"/>
          </reference>
        </references>
      </pivotArea>
    </chartFormat>
    <chartFormat chart="19" format="200">
      <pivotArea type="data" outline="0" fieldPosition="0">
        <references count="2">
          <reference field="4294967294" count="1" selected="0">
            <x v="0"/>
          </reference>
          <reference field="0" count="1" selected="0">
            <x v="28"/>
          </reference>
        </references>
      </pivotArea>
    </chartFormat>
    <chartFormat chart="19" format="201">
      <pivotArea type="data" outline="0" fieldPosition="0">
        <references count="2">
          <reference field="4294967294" count="1" selected="0">
            <x v="0"/>
          </reference>
          <reference field="0" count="1" selected="0">
            <x v="29"/>
          </reference>
        </references>
      </pivotArea>
    </chartFormat>
    <chartFormat chart="19" format="202">
      <pivotArea type="data" outline="0" fieldPosition="0">
        <references count="2">
          <reference field="4294967294" count="1" selected="0">
            <x v="0"/>
          </reference>
          <reference field="0" count="1" selected="0">
            <x v="30"/>
          </reference>
        </references>
      </pivotArea>
    </chartFormat>
    <chartFormat chart="19" format="203">
      <pivotArea type="data" outline="0" fieldPosition="0">
        <references count="2">
          <reference field="4294967294" count="1" selected="0">
            <x v="0"/>
          </reference>
          <reference field="0" count="1" selected="0">
            <x v="33"/>
          </reference>
        </references>
      </pivotArea>
    </chartFormat>
    <chartFormat chart="19" format="204">
      <pivotArea type="data" outline="0" fieldPosition="0">
        <references count="2">
          <reference field="4294967294" count="1" selected="0">
            <x v="0"/>
          </reference>
          <reference field="0" count="1" selected="0">
            <x v="35"/>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19" format="205">
      <pivotArea type="data" outline="0" fieldPosition="0">
        <references count="2">
          <reference field="4294967294" count="1" selected="0">
            <x v="0"/>
          </reference>
          <reference field="0" count="1" selected="0">
            <x v="1"/>
          </reference>
        </references>
      </pivotArea>
    </chartFormat>
    <chartFormat chart="19" format="206">
      <pivotArea type="data" outline="0" fieldPosition="0">
        <references count="2">
          <reference field="4294967294" count="1" selected="0">
            <x v="0"/>
          </reference>
          <reference field="0" count="1" selected="0">
            <x v="16"/>
          </reference>
        </references>
      </pivotArea>
    </chartFormat>
    <chartFormat chart="19" format="207">
      <pivotArea type="data" outline="0" fieldPosition="0">
        <references count="2">
          <reference field="4294967294" count="1" selected="0">
            <x v="0"/>
          </reference>
          <reference field="0" count="1" selected="0">
            <x v="19"/>
          </reference>
        </references>
      </pivotArea>
    </chartFormat>
    <chartFormat chart="19" format="208">
      <pivotArea type="data" outline="0" fieldPosition="0">
        <references count="2">
          <reference field="4294967294" count="1" selected="0">
            <x v="0"/>
          </reference>
          <reference field="0" count="1" selected="0">
            <x v="20"/>
          </reference>
        </references>
      </pivotArea>
    </chartFormat>
    <chartFormat chart="19" format="209">
      <pivotArea type="data" outline="0" fieldPosition="0">
        <references count="2">
          <reference field="4294967294" count="1" selected="0">
            <x v="0"/>
          </reference>
          <reference field="0" count="1" selected="0">
            <x v="21"/>
          </reference>
        </references>
      </pivotArea>
    </chartFormat>
    <chartFormat chart="19" format="210">
      <pivotArea type="data" outline="0" fieldPosition="0">
        <references count="2">
          <reference field="4294967294" count="1" selected="0">
            <x v="0"/>
          </reference>
          <reference field="0" count="1" selected="0">
            <x v="22"/>
          </reference>
        </references>
      </pivotArea>
    </chartFormat>
    <chartFormat chart="19" format="211">
      <pivotArea type="data" outline="0" fieldPosition="0">
        <references count="2">
          <reference field="4294967294" count="1" selected="0">
            <x v="0"/>
          </reference>
          <reference field="0" count="1" selected="0">
            <x v="24"/>
          </reference>
        </references>
      </pivotArea>
    </chartFormat>
    <chartFormat chart="19" format="212">
      <pivotArea type="data" outline="0" fieldPosition="0">
        <references count="2">
          <reference field="4294967294" count="1" selected="0">
            <x v="0"/>
          </reference>
          <reference field="0" count="1" selected="0">
            <x v="25"/>
          </reference>
        </references>
      </pivotArea>
    </chartFormat>
    <chartFormat chart="19" format="213">
      <pivotArea type="data" outline="0" fieldPosition="0">
        <references count="2">
          <reference field="4294967294" count="1" selected="0">
            <x v="0"/>
          </reference>
          <reference field="0" count="1" selected="0">
            <x v="31"/>
          </reference>
        </references>
      </pivotArea>
    </chartFormat>
    <chartFormat chart="19" format="214">
      <pivotArea type="data" outline="0" fieldPosition="0">
        <references count="2">
          <reference field="4294967294" count="1" selected="0">
            <x v="0"/>
          </reference>
          <reference field="0" count="1" selected="0">
            <x v="32"/>
          </reference>
        </references>
      </pivotArea>
    </chartFormat>
    <chartFormat chart="19" format="215">
      <pivotArea type="data" outline="0" fieldPosition="0">
        <references count="2">
          <reference field="4294967294" count="1" selected="0">
            <x v="0"/>
          </reference>
          <reference field="0" count="1" selected="0">
            <x v="34"/>
          </reference>
        </references>
      </pivotArea>
    </chartFormat>
    <chartFormat chart="19" format="216">
      <pivotArea type="data" outline="0" fieldPosition="0">
        <references count="2">
          <reference field="4294967294" count="1" selected="0">
            <x v="0"/>
          </reference>
          <reference field="0" count="1" selected="0">
            <x v="36"/>
          </reference>
        </references>
      </pivotArea>
    </chartFormat>
    <chartFormat chart="9" format="2">
      <pivotArea type="data" outline="0" fieldPosition="0">
        <references count="2">
          <reference field="4294967294" count="1" selected="0">
            <x v="0"/>
          </reference>
          <reference field="0" count="1" selected="0">
            <x v="4"/>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30"/>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7892FF-7C31-4905-9EBD-F4F5A03946AB}" name="PivotTable6" cacheId="4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4:E172" firstHeaderRow="0" firstDataRow="1" firstDataCol="1"/>
  <pivotFields count="5">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4">
    <i>
      <x/>
    </i>
    <i i="1">
      <x v="1"/>
    </i>
    <i i="2">
      <x v="2"/>
    </i>
    <i i="3">
      <x v="3"/>
    </i>
  </colItems>
  <dataFields count="4">
    <dataField name="Sum of Domestic -2019" fld="1" baseField="0" baseItem="0" numFmtId="165"/>
    <dataField name="Sum of Foreign - 2019" fld="2" baseField="0" baseItem="0" numFmtId="165"/>
    <dataField name="Sum of Foreign - 2020" fld="3" baseField="0" baseItem="0" numFmtId="165"/>
    <dataField name="Sum of Domestic -2020" fld="4" baseField="0" baseItem="0" numFmtId="165"/>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EAD245-4174-42DF-9C9B-B76F5F46710B}" name="PivotTable5" cacheId="4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92:C130" firstHeaderRow="0" firstDataRow="1" firstDataCol="1"/>
  <pivotFields count="3">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dataField="1" subtotalTop="0" showAll="0" defaultSubtota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Sum of Growth rate - DTV  2020/19" fld="1" baseField="0" baseItem="0"/>
    <dataField name="Sum of Growth rate - FTV 2020/19" fld="2" baseField="0"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2E4335-2FE9-4805-9344-B708391798ED}" name="PivotTable4" cacheId="4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86:B9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Min of Total_Vistor" fld="1" subtotal="min" baseField="0" baseItem="0" numFmtId="165"/>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of Total_Vistor"/>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F6F810-4829-4C58-91FE-98A36E15C0A2}" name="PivotTable3" cacheId="4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A44:C82" firstHeaderRow="0" firstDataRow="1" firstDataCol="1"/>
  <pivotFields count="3">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dataField="1" subtotalTop="0" showAll="0" defaultSubtota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Sum of Total_Vistor_Domestic" fld="1" showDataAs="percentOfTotal" baseField="0" baseItem="3" numFmtId="10"/>
    <dataField name="Sum of Total_visitor_Foreign" fld="2" showDataAs="percentOfTotal" baseField="0" baseItem="1" numFmtId="10"/>
  </dataFields>
  <chartFormats count="8">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1"/>
          </reference>
        </references>
      </pivotArea>
    </chartFormat>
    <chartFormat chart="32" format="12"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1"/>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846FB7-23E5-4F0F-8B59-F95D229AD238}" autoFormatId="16" applyNumberFormats="0" applyBorderFormats="0" applyFontFormats="0" applyPatternFormats="0" applyAlignmentFormats="0" applyWidthHeightFormats="0">
  <queryTableRefresh nextId="15" unboundColumnsRight="2">
    <queryTableFields count="13">
      <queryTableField id="1" name="S. No." tableColumnId="1"/>
      <queryTableField id="2" name="States/UTs *" tableColumnId="2"/>
      <queryTableField id="3" name="Domestic -2019" tableColumnId="3"/>
      <queryTableField id="4" name="Foreign - 2019" tableColumnId="4"/>
      <queryTableField id="5" name="Domestic -2020" tableColumnId="5"/>
      <queryTableField id="6" name="Foreign - 2020" tableColumnId="6"/>
      <queryTableField id="12" dataBound="0" tableColumnId="15"/>
      <queryTableField id="10" dataBound="0" tableColumnId="13"/>
      <queryTableField id="13" dataBound="0" tableColumnId="16"/>
      <queryTableField id="7" name="Growth rate - DTV  2020/19" tableColumnId="7"/>
      <queryTableField id="8" name="Growth rate - FTV 2020/19" tableColumnId="8"/>
      <queryTableField id="11" dataBound="0" tableColumnId="14"/>
      <queryTableField id="14"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13EFD51-3BE4-4760-AE88-DF1C114DE710}" autoFormatId="16" applyNumberFormats="0" applyBorderFormats="0" applyFontFormats="0" applyPatternFormats="0" applyAlignmentFormats="0" applyWidthHeightFormats="0">
  <queryTableRefresh nextId="9">
    <queryTableFields count="8">
      <queryTableField id="1" name="S. No." tableColumnId="1"/>
      <queryTableField id="2" name="States/UTs *" tableColumnId="2"/>
      <queryTableField id="3" name="Domestic -2019" tableColumnId="3"/>
      <queryTableField id="4" name="Foreign - 2019" tableColumnId="4"/>
      <queryTableField id="5" name="Domestic -2020" tableColumnId="5"/>
      <queryTableField id="6" name="Foreign - 2020" tableColumnId="6"/>
      <queryTableField id="7" name="Growth rate - DTV  2020/19" tableColumnId="7"/>
      <queryTableField id="8" name="Growth rate - FTV 2020/19"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urism_Zone" xr10:uid="{2B058097-9017-4A54-B228-04373B8DD9ED}" sourceName="[Range].[Tourism Zone]">
  <pivotTables>
    <pivotTable tabId="8" name="PivotTable2"/>
    <pivotTable tabId="8" name="PivotTable3"/>
    <pivotTable tabId="8" name="PivotTable5"/>
    <pivotTable tabId="8" name="PivotTable6"/>
    <pivotTable tabId="8" name="PivotTable7"/>
    <pivotTable tabId="8" name="PivotTable8"/>
  </pivotTables>
  <data>
    <olap pivotCacheId="337808021">
      <levels count="2">
        <level uniqueName="[Range].[Tourism Zone].[(All)]" sourceCaption="(All)" count="0"/>
        <level uniqueName="[Range].[Tourism Zone].[Tourism Zone]" sourceCaption="Tourism Zone" count="3">
          <ranges>
            <range startItem="0">
              <i n="[Range].[Tourism Zone].&amp;[High Tourism]" c="High Tourism"/>
              <i n="[Range].[Tourism Zone].&amp;[Low Tourism]" c="Low Tourism"/>
              <i n="[Range].[Tourism Zone].&amp;[Medium Tourism]" c="Medium Tourism"/>
            </range>
          </ranges>
        </level>
      </levels>
      <selections count="1">
        <selection n="[Range].[Tourism Zon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_UTs" xr10:uid="{98720BC1-CAB9-4F8A-8036-31A024379A1E}" sourceName="[Range].[States/UTs *]">
  <pivotTables>
    <pivotTable tabId="8" name="PivotTable2"/>
    <pivotTable tabId="8" name="PivotTable3"/>
    <pivotTable tabId="8" name="PivotTable4"/>
    <pivotTable tabId="8" name="PivotTable5"/>
    <pivotTable tabId="8" name="PivotTable6"/>
    <pivotTable tabId="8" name="PivotTable7"/>
    <pivotTable tabId="8" name="PivotTable8"/>
  </pivotTables>
  <data>
    <olap pivotCacheId="337808021">
      <levels count="2">
        <level uniqueName="[Range].[States/UTs *].[(All)]" sourceCaption="(All)" count="0"/>
        <level uniqueName="[Range].[States/UTs *].[States/UTs *]" sourceCaption="States/UTs *" count="37">
          <ranges>
            <range startItem="0">
              <i n="[Range].[States/UTs *].&amp;[A&amp;N Island]" c="A&amp;N Island"/>
              <i n="[Range].[States/UTs *].&amp;[Andhra Pradesh]" c="Andhra Pradesh"/>
              <i n="[Range].[States/UTs *].&amp;[Arunachal Pradesh]" c="Arunachal Pradesh"/>
              <i n="[Range].[States/UTs *].&amp;[Assam]" c="Assam"/>
              <i n="[Range].[States/UTs *].&amp;[Bihar]" c="Bihar"/>
              <i n="[Range].[States/UTs *].&amp;[Chandigarh]" c="Chandigarh"/>
              <i n="[Range].[States/UTs *].&amp;[Chhattisgarh]" c="Chhattisgarh"/>
              <i n="[Range].[States/UTs *].&amp;[Dadra &amp; Nagar Haveli]" c="Dadra &amp; Nagar Haveli"/>
              <i n="[Range].[States/UTs *].&amp;[Daman &amp; Diu]" c="Daman &amp; Diu"/>
              <i n="[Range].[States/UTs *].&amp;[Delhi #]" c="Delhi #"/>
              <i n="[Range].[States/UTs *].&amp;[Goa]" c="Goa"/>
              <i n="[Range].[States/UTs *].&amp;[Gujarat]" c="Gujarat"/>
              <i n="[Range].[States/UTs *].&amp;[Haryana]" c="Haryana"/>
              <i n="[Range].[States/UTs *].&amp;[Himachal Pradesh]" c="Himachal Pradesh"/>
              <i n="[Range].[States/UTs *].&amp;[J&amp;K]" c="J&amp;K"/>
              <i n="[Range].[States/UTs *].&amp;[Jharkhand]" c="Jharkhand"/>
              <i n="[Range].[States/UTs *].&amp;[Karnataka]" c="Karnataka"/>
              <i n="[Range].[States/UTs *].&amp;[Kerala]" c="Kerala"/>
              <i n="[Range].[States/UTs *].&amp;[Ladakh]" c="Ladakh"/>
              <i n="[Range].[States/UTs *].&amp;[Lakshdweep]" c="Lakshdweep"/>
              <i n="[Range].[States/UTs *].&amp;[Madhya Pradesh]" c="Madhya Pradesh"/>
              <i n="[Range].[States/UTs *].&amp;[Maharashtra #]" c="Maharashtra #"/>
              <i n="[Range].[States/UTs *].&amp;[Manipur]" c="Manipur"/>
              <i n="[Range].[States/UTs *].&amp;[Meghalaya]" c="Meghalaya"/>
              <i n="[Range].[States/UTs *].&amp;[Mizoram]" c="Mizoram"/>
              <i n="[Range].[States/UTs *].&amp;[Nagaland]" c="Nagaland"/>
              <i n="[Range].[States/UTs *].&amp;[Odisha]" c="Odisha"/>
              <i n="[Range].[States/UTs *].&amp;[Puducherry]" c="Puducherry"/>
              <i n="[Range].[States/UTs *].&amp;[Punjab]" c="Punjab"/>
              <i n="[Range].[States/UTs *].&amp;[Rajasthan]" c="Rajasthan"/>
              <i n="[Range].[States/UTs *].&amp;[Sikkim]" c="Sikkim"/>
              <i n="[Range].[States/UTs *].&amp;[Tamil Nadu]" c="Tamil Nadu"/>
              <i n="[Range].[States/UTs *].&amp;[Telengana]" c="Telengana"/>
              <i n="[Range].[States/UTs *].&amp;[Tripura]" c="Tripura"/>
              <i n="[Range].[States/UTs *].&amp;[Uttar Pradesh]" c="Uttar Pradesh"/>
              <i n="[Range].[States/UTs *].&amp;[Uttarakhand]" c="Uttarakhand"/>
              <i n="[Range].[States/UTs *].&amp;[West Bengal]" c="West Bengal"/>
            </range>
          </ranges>
        </level>
      </levels>
      <selections count="1">
        <selection n="[Range].[States/UTs *].[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urism Zone" xr10:uid="{A5F9719C-B4EB-4627-A61B-A2B589FFCF97}" cache="Slicer_Tourism_Zone" caption="Tourism Zone" level="1" rowHeight="234950"/>
  <slicer name="States/UTs *" xr10:uid="{41CC613B-53C5-44A5-8279-AC4BA7F1353A}" cache="Slicer_States_UTs" caption="States/UTs *" startItem="3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urism Zone 2" xr10:uid="{6B445FEE-97E3-4908-B6D4-AE7B8FA17766}" cache="Slicer_Tourism_Zone" caption="Tourism Zone" level="1" rowHeight="234950"/>
  <slicer name="States/UTs * 2" xr10:uid="{23260F95-A83A-478E-B257-9B1B2BD24137}" cache="Slicer_States_UTs" caption="States/UTs *" startItem="2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urism Zone 1" xr10:uid="{70376CE5-7FA6-4998-BB24-C754C3E189C1}" cache="Slicer_Tourism_Zone" caption="Tourism Zone" level="1" rowHeight="234950"/>
  <slicer name="States/UTs * 1" xr10:uid="{D9538041-968D-43C7-A099-DAC1C5F64082}" cache="Slicer_States_UTs" caption="States/UTs *"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0D8A2-AD7D-44E1-9DEF-D94D3D573BEA}" name="statewise_tourist_visit" displayName="statewise_tourist_visit" ref="A1:M41" tableType="queryTable" totalsRowShown="0">
  <autoFilter ref="A1:M41" xr:uid="{7B80D8A2-AD7D-44E1-9DEF-D94D3D573BEA}"/>
  <tableColumns count="13">
    <tableColumn id="1" xr3:uid="{32E75EAA-0005-45BA-A239-9D6B565B8FA6}" uniqueName="1" name="S. No." queryTableFieldId="1" dataDxfId="12"/>
    <tableColumn id="2" xr3:uid="{B06F8E58-6E82-45B9-B41A-1B06863475FE}" uniqueName="2" name="States/UTs *" queryTableFieldId="2" dataDxfId="11"/>
    <tableColumn id="3" xr3:uid="{573A10AF-2C35-4AF6-9774-E758FDBC35FB}" uniqueName="3" name="Domestic -2019" queryTableFieldId="3" dataDxfId="10"/>
    <tableColumn id="4" xr3:uid="{CD852EE0-4494-45EB-BA7C-7932B6B339D8}" uniqueName="4" name="Foreign - 2019" queryTableFieldId="4" dataDxfId="9"/>
    <tableColumn id="5" xr3:uid="{C2F2C72B-2933-4B82-92EE-D6B58F65A4A4}" uniqueName="5" name="Domestic -2020" queryTableFieldId="5" dataDxfId="8"/>
    <tableColumn id="6" xr3:uid="{E7152D5B-81C8-474F-BCDB-76199850CE07}" uniqueName="6" name="Foreign - 2020" queryTableFieldId="6" dataDxfId="7"/>
    <tableColumn id="15" xr3:uid="{34705B77-5C37-4E4E-BB9F-9ED13F180E5E}" uniqueName="15" name="Total_visitor_Foreign" queryTableFieldId="12" dataDxfId="6">
      <calculatedColumnFormula>statewise_tourist_visit[[#This Row],[Foreign - 2019]]+statewise_tourist_visit[[#This Row],[Foreign - 2020]]</calculatedColumnFormula>
    </tableColumn>
    <tableColumn id="13" xr3:uid="{EE02BD4E-57E4-4583-922A-BD5DE04C550B}" uniqueName="13" name="Total_Vistor_Domestic" queryTableFieldId="10" dataDxfId="5">
      <calculatedColumnFormula>statewise_tourist_visit[[#This Row],[Domestic -2019]]+statewise_tourist_visit[[#This Row],[Domestic -2020]]</calculatedColumnFormula>
    </tableColumn>
    <tableColumn id="16" xr3:uid="{E4AE86A5-9010-402D-8C27-5EDA3AD66806}" uniqueName="16" name="Total_Vistor" queryTableFieldId="13" dataDxfId="4">
      <calculatedColumnFormula>statewise_tourist_visit[[#This Row],[Total_visitor_Foreign]]+statewise_tourist_visit[[#This Row],[Total_Vistor_Domestic]]</calculatedColumnFormula>
    </tableColumn>
    <tableColumn id="7" xr3:uid="{411C0E8F-C3CC-4886-98EF-E61055C4781D}" uniqueName="7" name="Growth rate - DTV  2020/19" queryTableFieldId="7"/>
    <tableColumn id="8" xr3:uid="{E821B3A8-4005-4514-9545-1594E254C707}" uniqueName="8" name="Growth rate - FTV 2020/19" queryTableFieldId="8"/>
    <tableColumn id="14" xr3:uid="{FD072D3F-E86D-44C7-86D3-4B9B167813BC}" uniqueName="14" name="Foreign Share" queryTableFieldId="11" dataDxfId="3">
      <calculatedColumnFormula>ROUND((statewise_tourist_visit[[#This Row],[Total_visitor_Foreign]]/statewise_tourist_visit[[#This Row],[Total_Vistor]])*100,2)</calculatedColumnFormula>
    </tableColumn>
    <tableColumn id="17" xr3:uid="{36DA9B45-F2B8-4CCF-BE9A-595ED1B673B0}" uniqueName="17" name="Tourism Zone" queryTableFieldId="14" dataDxfId="2">
      <calculatedColumnFormula array="1">_xlfn.IFS(statewise_tourist_visit[[#This Row],[Total_Vistor]]&gt;80000000,"High Tourism",statewise_tourist_visit[[#This Row],[Total_Vistor]]&gt;250000,"Medium Tourism",statewise_tourist_visit[[#This Row],[Total_Vistor]]&lt;=250000,"Low Tourism")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73C4E0-4699-4457-AF56-9E1BBC264CAD}" name="statewise_tourist_visit3" displayName="statewise_tourist_visit3" ref="A1:H41" tableType="queryTable" totalsRowShown="0">
  <autoFilter ref="A1:H41" xr:uid="{7B80D8A2-AD7D-44E1-9DEF-D94D3D573BEA}"/>
  <tableColumns count="8">
    <tableColumn id="1" xr3:uid="{C59F1670-8C19-4261-943B-767D54E65982}" uniqueName="1" name="S. No." queryTableFieldId="1" dataDxfId="1"/>
    <tableColumn id="2" xr3:uid="{262CA071-8F22-4DE5-8195-3E4983237BBE}" uniqueName="2" name="States/UTs *" queryTableFieldId="2" dataDxfId="0"/>
    <tableColumn id="3" xr3:uid="{971DA481-1FA7-46E4-8710-50F7545047EF}" uniqueName="3" name="Domestic -2019" queryTableFieldId="3"/>
    <tableColumn id="4" xr3:uid="{C6E0BAFD-0AF3-44F5-A5F9-F23BB1826230}" uniqueName="4" name="Foreign - 2019" queryTableFieldId="4"/>
    <tableColumn id="5" xr3:uid="{75657CAC-185F-418E-8B1D-EB742E903370}" uniqueName="5" name="Domestic -2020" queryTableFieldId="5"/>
    <tableColumn id="6" xr3:uid="{0C713F8B-F9C9-4E90-A942-1EA43747BCCE}" uniqueName="6" name="Foreign - 2020" queryTableFieldId="6"/>
    <tableColumn id="7" xr3:uid="{3BD26F6E-EA25-4D46-8D24-A4D24A3990C4}" uniqueName="7" name="Growth rate - DTV  2020/19" queryTableFieldId="7"/>
    <tableColumn id="8" xr3:uid="{9818B6BB-BFB0-4B06-A806-46D0B0536A05}" uniqueName="8" name="Growth rate - FTV 2020/19"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304D-F446-4E4C-AAEA-2C569480ADA9}">
  <dimension ref="A1:M47"/>
  <sheetViews>
    <sheetView workbookViewId="0">
      <selection activeCell="K9" sqref="K9"/>
    </sheetView>
  </sheetViews>
  <sheetFormatPr defaultRowHeight="14.4" x14ac:dyDescent="0.3"/>
  <cols>
    <col min="1" max="1" width="10.77734375" bestFit="1" customWidth="1"/>
    <col min="2" max="2" width="19.6640625" bestFit="1" customWidth="1"/>
    <col min="3" max="3" width="16.33203125" style="5" bestFit="1" customWidth="1"/>
    <col min="4" max="4" width="15.21875" style="5" bestFit="1" customWidth="1"/>
    <col min="5" max="5" width="16.33203125" style="5" bestFit="1" customWidth="1"/>
    <col min="6" max="6" width="15.21875" style="5" bestFit="1" customWidth="1"/>
    <col min="7" max="7" width="21.6640625" style="5" bestFit="1" customWidth="1"/>
    <col min="8" max="8" width="23" style="5" bestFit="1" customWidth="1"/>
    <col min="9" max="9" width="13.5546875" bestFit="1" customWidth="1"/>
    <col min="10" max="10" width="26.5546875" bestFit="1" customWidth="1"/>
    <col min="11" max="11" width="25.77734375" bestFit="1" customWidth="1"/>
    <col min="12" max="12" width="15.109375" bestFit="1" customWidth="1"/>
    <col min="13" max="13" width="15.6640625" bestFit="1" customWidth="1"/>
  </cols>
  <sheetData>
    <row r="1" spans="1:13" x14ac:dyDescent="0.3">
      <c r="A1" t="s">
        <v>0</v>
      </c>
      <c r="B1" t="s">
        <v>1</v>
      </c>
      <c r="C1" s="5" t="s">
        <v>2</v>
      </c>
      <c r="D1" s="5" t="s">
        <v>3</v>
      </c>
      <c r="E1" s="5" t="s">
        <v>4</v>
      </c>
      <c r="F1" s="5" t="s">
        <v>5</v>
      </c>
      <c r="G1" s="5" t="s">
        <v>87</v>
      </c>
      <c r="H1" s="5" t="s">
        <v>86</v>
      </c>
      <c r="I1" t="s">
        <v>88</v>
      </c>
      <c r="J1" t="s">
        <v>6</v>
      </c>
      <c r="K1" t="s">
        <v>7</v>
      </c>
      <c r="L1" t="s">
        <v>85</v>
      </c>
      <c r="M1" t="s">
        <v>89</v>
      </c>
    </row>
    <row r="2" spans="1:13" x14ac:dyDescent="0.3">
      <c r="A2" t="s">
        <v>8</v>
      </c>
      <c r="B2" t="s">
        <v>9</v>
      </c>
      <c r="C2" s="5">
        <v>505398</v>
      </c>
      <c r="D2" s="5">
        <v>16206</v>
      </c>
      <c r="E2" s="5">
        <v>191207</v>
      </c>
      <c r="F2" s="5">
        <v>5412</v>
      </c>
      <c r="G2" s="5">
        <f>statewise_tourist_visit[[#This Row],[Foreign - 2019]]+statewise_tourist_visit[[#This Row],[Foreign - 2020]]</f>
        <v>21618</v>
      </c>
      <c r="H2" s="5">
        <f>statewise_tourist_visit[[#This Row],[Domestic -2019]]+statewise_tourist_visit[[#This Row],[Domestic -2020]]</f>
        <v>696605</v>
      </c>
      <c r="I2">
        <f>statewise_tourist_visit[[#This Row],[Total_visitor_Foreign]]+statewise_tourist_visit[[#This Row],[Total_Vistor_Domestic]]</f>
        <v>718223</v>
      </c>
      <c r="J2">
        <v>-62.17</v>
      </c>
      <c r="K2">
        <v>-66.599999999999994</v>
      </c>
      <c r="L2">
        <f>ROUND((statewise_tourist_visit[[#This Row],[Total_visitor_Foreign]]/statewise_tourist_visit[[#This Row],[Total_Vistor]])*100,2)</f>
        <v>3.01</v>
      </c>
      <c r="M2" t="str" cm="1">
        <f t="array" ref="M2">_xlfn.IFS(statewise_tourist_visit[[#This Row],[Total_Vistor]]&gt;80000000,"High Tourism",statewise_tourist_visit[[#This Row],[Total_Vistor]]&gt;250000,"Medium Tourism",statewise_tourist_visit[[#This Row],[Total_Vistor]]&lt;=250000,"Low Tourism")</f>
        <v>Medium Tourism</v>
      </c>
    </row>
    <row r="3" spans="1:13" x14ac:dyDescent="0.3">
      <c r="A3" t="s">
        <v>10</v>
      </c>
      <c r="B3" t="s">
        <v>11</v>
      </c>
      <c r="C3" s="5">
        <v>237051508</v>
      </c>
      <c r="D3" s="5">
        <v>280356</v>
      </c>
      <c r="E3" s="5">
        <v>70828590</v>
      </c>
      <c r="F3" s="5">
        <v>67591</v>
      </c>
      <c r="G3" s="5">
        <f>statewise_tourist_visit[[#This Row],[Foreign - 2019]]+statewise_tourist_visit[[#This Row],[Foreign - 2020]]</f>
        <v>347947</v>
      </c>
      <c r="H3" s="5">
        <f>statewise_tourist_visit[[#This Row],[Domestic -2019]]+statewise_tourist_visit[[#This Row],[Domestic -2020]]</f>
        <v>307880098</v>
      </c>
      <c r="I3">
        <f>statewise_tourist_visit[[#This Row],[Total_visitor_Foreign]]+statewise_tourist_visit[[#This Row],[Total_Vistor_Domestic]]</f>
        <v>308228045</v>
      </c>
      <c r="J3">
        <v>-70.12</v>
      </c>
      <c r="K3">
        <v>-75.89</v>
      </c>
      <c r="L3">
        <f>ROUND((statewise_tourist_visit[[#This Row],[Total_visitor_Foreign]]/statewise_tourist_visit[[#This Row],[Total_Vistor]])*100,2)</f>
        <v>0.11</v>
      </c>
      <c r="M3" t="str" cm="1">
        <f t="array" ref="M3">_xlfn.IFS(statewise_tourist_visit[[#This Row],[Total_Vistor]]&gt;80000000,"High Tourism",statewise_tourist_visit[[#This Row],[Total_Vistor]]&gt;250000,"Medium Tourism",statewise_tourist_visit[[#This Row],[Total_Vistor]]&lt;=250000,"Low Tourism")</f>
        <v>High Tourism</v>
      </c>
    </row>
    <row r="4" spans="1:13" x14ac:dyDescent="0.3">
      <c r="A4" t="s">
        <v>12</v>
      </c>
      <c r="B4" t="s">
        <v>13</v>
      </c>
      <c r="C4" s="5">
        <v>555639</v>
      </c>
      <c r="D4" s="5">
        <v>7825</v>
      </c>
      <c r="E4" s="5">
        <v>42871</v>
      </c>
      <c r="F4" s="5">
        <v>961</v>
      </c>
      <c r="G4" s="5">
        <f>statewise_tourist_visit[[#This Row],[Foreign - 2019]]+statewise_tourist_visit[[#This Row],[Foreign - 2020]]</f>
        <v>8786</v>
      </c>
      <c r="H4" s="5">
        <f>statewise_tourist_visit[[#This Row],[Domestic -2019]]+statewise_tourist_visit[[#This Row],[Domestic -2020]]</f>
        <v>598510</v>
      </c>
      <c r="I4">
        <f>statewise_tourist_visit[[#This Row],[Total_visitor_Foreign]]+statewise_tourist_visit[[#This Row],[Total_Vistor_Domestic]]</f>
        <v>607296</v>
      </c>
      <c r="J4">
        <v>-92.28</v>
      </c>
      <c r="K4">
        <v>-87.72</v>
      </c>
      <c r="L4">
        <f>ROUND((statewise_tourist_visit[[#This Row],[Total_visitor_Foreign]]/statewise_tourist_visit[[#This Row],[Total_Vistor]])*100,2)</f>
        <v>1.45</v>
      </c>
      <c r="M4" t="str" cm="1">
        <f t="array" ref="M4">_xlfn.IFS(statewise_tourist_visit[[#This Row],[Total_Vistor]]&gt;80000000,"High Tourism",statewise_tourist_visit[[#This Row],[Total_Vistor]]&gt;250000,"Medium Tourism",statewise_tourist_visit[[#This Row],[Total_Vistor]]&lt;=250000,"Low Tourism")</f>
        <v>Medium Tourism</v>
      </c>
    </row>
    <row r="5" spans="1:13" x14ac:dyDescent="0.3">
      <c r="A5" t="s">
        <v>14</v>
      </c>
      <c r="B5" t="s">
        <v>15</v>
      </c>
      <c r="C5" s="5">
        <v>5447805</v>
      </c>
      <c r="D5" s="5">
        <v>26878</v>
      </c>
      <c r="E5" s="5">
        <v>1266898</v>
      </c>
      <c r="F5" s="5">
        <v>7285</v>
      </c>
      <c r="G5" s="5">
        <f>statewise_tourist_visit[[#This Row],[Foreign - 2019]]+statewise_tourist_visit[[#This Row],[Foreign - 2020]]</f>
        <v>34163</v>
      </c>
      <c r="H5" s="5">
        <f>statewise_tourist_visit[[#This Row],[Domestic -2019]]+statewise_tourist_visit[[#This Row],[Domestic -2020]]</f>
        <v>6714703</v>
      </c>
      <c r="I5">
        <f>statewise_tourist_visit[[#This Row],[Total_visitor_Foreign]]+statewise_tourist_visit[[#This Row],[Total_Vistor_Domestic]]</f>
        <v>6748866</v>
      </c>
      <c r="J5">
        <v>-76.739999999999995</v>
      </c>
      <c r="K5">
        <v>-72.900000000000006</v>
      </c>
      <c r="L5">
        <f>ROUND((statewise_tourist_visit[[#This Row],[Total_visitor_Foreign]]/statewise_tourist_visit[[#This Row],[Total_Vistor]])*100,2)</f>
        <v>0.51</v>
      </c>
      <c r="M5" t="str" cm="1">
        <f t="array" ref="M5">_xlfn.IFS(statewise_tourist_visit[[#This Row],[Total_Vistor]]&gt;80000000,"High Tourism",statewise_tourist_visit[[#This Row],[Total_Vistor]]&gt;250000,"Medium Tourism",statewise_tourist_visit[[#This Row],[Total_Vistor]]&lt;=250000,"Low Tourism")</f>
        <v>Medium Tourism</v>
      </c>
    </row>
    <row r="6" spans="1:13" x14ac:dyDescent="0.3">
      <c r="A6" t="s">
        <v>16</v>
      </c>
      <c r="B6" t="s">
        <v>17</v>
      </c>
      <c r="C6" s="5">
        <v>33990038</v>
      </c>
      <c r="D6" s="5">
        <v>1093141</v>
      </c>
      <c r="E6" s="5">
        <v>5638024</v>
      </c>
      <c r="F6" s="5">
        <v>308080</v>
      </c>
      <c r="G6" s="5">
        <f>statewise_tourist_visit[[#This Row],[Foreign - 2019]]+statewise_tourist_visit[[#This Row],[Foreign - 2020]]</f>
        <v>1401221</v>
      </c>
      <c r="H6" s="5">
        <f>statewise_tourist_visit[[#This Row],[Domestic -2019]]+statewise_tourist_visit[[#This Row],[Domestic -2020]]</f>
        <v>39628062</v>
      </c>
      <c r="I6">
        <f>statewise_tourist_visit[[#This Row],[Total_visitor_Foreign]]+statewise_tourist_visit[[#This Row],[Total_Vistor_Domestic]]</f>
        <v>41029283</v>
      </c>
      <c r="J6">
        <v>-83.41</v>
      </c>
      <c r="K6">
        <v>-71.819999999999993</v>
      </c>
      <c r="L6">
        <f>ROUND((statewise_tourist_visit[[#This Row],[Total_visitor_Foreign]]/statewise_tourist_visit[[#This Row],[Total_Vistor]])*100,2)</f>
        <v>3.42</v>
      </c>
      <c r="M6" t="str" cm="1">
        <f t="array" ref="M6">_xlfn.IFS(statewise_tourist_visit[[#This Row],[Total_Vistor]]&gt;80000000,"High Tourism",statewise_tourist_visit[[#This Row],[Total_Vistor]]&gt;250000,"Medium Tourism",statewise_tourist_visit[[#This Row],[Total_Vistor]]&lt;=250000,"Low Tourism")</f>
        <v>Medium Tourism</v>
      </c>
    </row>
    <row r="7" spans="1:13" x14ac:dyDescent="0.3">
      <c r="A7" t="s">
        <v>18</v>
      </c>
      <c r="B7" t="s">
        <v>19</v>
      </c>
      <c r="C7" s="5">
        <v>1563795</v>
      </c>
      <c r="D7" s="5">
        <v>44132</v>
      </c>
      <c r="E7" s="5">
        <v>417953</v>
      </c>
      <c r="F7" s="5">
        <v>12218</v>
      </c>
      <c r="G7" s="5">
        <f>statewise_tourist_visit[[#This Row],[Foreign - 2019]]+statewise_tourist_visit[[#This Row],[Foreign - 2020]]</f>
        <v>56350</v>
      </c>
      <c r="H7" s="5">
        <f>statewise_tourist_visit[[#This Row],[Domestic -2019]]+statewise_tourist_visit[[#This Row],[Domestic -2020]]</f>
        <v>1981748</v>
      </c>
      <c r="I7">
        <f>statewise_tourist_visit[[#This Row],[Total_visitor_Foreign]]+statewise_tourist_visit[[#This Row],[Total_Vistor_Domestic]]</f>
        <v>2038098</v>
      </c>
      <c r="J7">
        <v>-73.27</v>
      </c>
      <c r="K7">
        <v>-72.31</v>
      </c>
      <c r="L7">
        <f>ROUND((statewise_tourist_visit[[#This Row],[Total_visitor_Foreign]]/statewise_tourist_visit[[#This Row],[Total_Vistor]])*100,2)</f>
        <v>2.76</v>
      </c>
      <c r="M7" t="str" cm="1">
        <f t="array" ref="M7">_xlfn.IFS(statewise_tourist_visit[[#This Row],[Total_Vistor]]&gt;80000000,"High Tourism",statewise_tourist_visit[[#This Row],[Total_Vistor]]&gt;250000,"Medium Tourism",statewise_tourist_visit[[#This Row],[Total_Vistor]]&lt;=250000,"Low Tourism")</f>
        <v>Medium Tourism</v>
      </c>
    </row>
    <row r="8" spans="1:13" x14ac:dyDescent="0.3">
      <c r="A8" t="s">
        <v>20</v>
      </c>
      <c r="B8" t="s">
        <v>21</v>
      </c>
      <c r="C8" s="5">
        <v>17304506</v>
      </c>
      <c r="D8" s="5">
        <v>6817</v>
      </c>
      <c r="E8" s="5">
        <v>2810227</v>
      </c>
      <c r="F8" s="5">
        <v>2322</v>
      </c>
      <c r="G8" s="5">
        <f>statewise_tourist_visit[[#This Row],[Foreign - 2019]]+statewise_tourist_visit[[#This Row],[Foreign - 2020]]</f>
        <v>9139</v>
      </c>
      <c r="H8" s="5">
        <f>statewise_tourist_visit[[#This Row],[Domestic -2019]]+statewise_tourist_visit[[#This Row],[Domestic -2020]]</f>
        <v>20114733</v>
      </c>
      <c r="I8">
        <f>statewise_tourist_visit[[#This Row],[Total_visitor_Foreign]]+statewise_tourist_visit[[#This Row],[Total_Vistor_Domestic]]</f>
        <v>20123872</v>
      </c>
      <c r="J8">
        <v>-83.76</v>
      </c>
      <c r="K8">
        <v>-65.94</v>
      </c>
      <c r="L8">
        <f>ROUND((statewise_tourist_visit[[#This Row],[Total_visitor_Foreign]]/statewise_tourist_visit[[#This Row],[Total_Vistor]])*100,2)</f>
        <v>0.05</v>
      </c>
      <c r="M8" t="str" cm="1">
        <f t="array" ref="M8">_xlfn.IFS(statewise_tourist_visit[[#This Row],[Total_Vistor]]&gt;80000000,"High Tourism",statewise_tourist_visit[[#This Row],[Total_Vistor]]&gt;250000,"Medium Tourism",statewise_tourist_visit[[#This Row],[Total_Vistor]]&lt;=250000,"Low Tourism")</f>
        <v>Medium Tourism</v>
      </c>
    </row>
    <row r="9" spans="1:13" x14ac:dyDescent="0.3">
      <c r="A9" t="s">
        <v>22</v>
      </c>
      <c r="B9" t="s">
        <v>23</v>
      </c>
      <c r="C9" s="5">
        <v>618330</v>
      </c>
      <c r="D9" s="5">
        <v>1666</v>
      </c>
      <c r="E9" s="5">
        <v>104959</v>
      </c>
      <c r="F9" s="5">
        <v>222</v>
      </c>
      <c r="G9" s="5">
        <f>statewise_tourist_visit[[#This Row],[Foreign - 2019]]+statewise_tourist_visit[[#This Row],[Foreign - 2020]]</f>
        <v>1888</v>
      </c>
      <c r="H9" s="5">
        <f>statewise_tourist_visit[[#This Row],[Domestic -2019]]+statewise_tourist_visit[[#This Row],[Domestic -2020]]</f>
        <v>723289</v>
      </c>
      <c r="I9">
        <f>statewise_tourist_visit[[#This Row],[Total_visitor_Foreign]]+statewise_tourist_visit[[#This Row],[Total_Vistor_Domestic]]</f>
        <v>725177</v>
      </c>
      <c r="J9">
        <v>-83.03</v>
      </c>
      <c r="K9">
        <v>-86.67</v>
      </c>
      <c r="L9">
        <f>ROUND((statewise_tourist_visit[[#This Row],[Total_visitor_Foreign]]/statewise_tourist_visit[[#This Row],[Total_Vistor]])*100,2)</f>
        <v>0.26</v>
      </c>
      <c r="M9" t="str" cm="1">
        <f t="array" ref="M9">_xlfn.IFS(statewise_tourist_visit[[#This Row],[Total_Vistor]]&gt;80000000,"High Tourism",statewise_tourist_visit[[#This Row],[Total_Vistor]]&gt;250000,"Medium Tourism",statewise_tourist_visit[[#This Row],[Total_Vistor]]&lt;=250000,"Low Tourism")</f>
        <v>Medium Tourism</v>
      </c>
    </row>
    <row r="10" spans="1:13" x14ac:dyDescent="0.3">
      <c r="A10" t="s">
        <v>24</v>
      </c>
      <c r="B10" t="s">
        <v>25</v>
      </c>
      <c r="C10" s="5">
        <v>897804</v>
      </c>
      <c r="D10" s="5">
        <v>5703</v>
      </c>
      <c r="E10" s="5">
        <v>297436</v>
      </c>
      <c r="F10" s="5">
        <v>1382</v>
      </c>
      <c r="G10" s="5">
        <f>statewise_tourist_visit[[#This Row],[Foreign - 2019]]+statewise_tourist_visit[[#This Row],[Foreign - 2020]]</f>
        <v>7085</v>
      </c>
      <c r="H10" s="5">
        <f>statewise_tourist_visit[[#This Row],[Domestic -2019]]+statewise_tourist_visit[[#This Row],[Domestic -2020]]</f>
        <v>1195240</v>
      </c>
      <c r="I10">
        <f>statewise_tourist_visit[[#This Row],[Total_visitor_Foreign]]+statewise_tourist_visit[[#This Row],[Total_Vistor_Domestic]]</f>
        <v>1202325</v>
      </c>
      <c r="J10">
        <v>-66.87</v>
      </c>
      <c r="K10">
        <v>-75.77</v>
      </c>
      <c r="L10">
        <f>ROUND((statewise_tourist_visit[[#This Row],[Total_visitor_Foreign]]/statewise_tourist_visit[[#This Row],[Total_Vistor]])*100,2)</f>
        <v>0.59</v>
      </c>
      <c r="M10" t="str" cm="1">
        <f t="array" ref="M10">_xlfn.IFS(statewise_tourist_visit[[#This Row],[Total_Vistor]]&gt;80000000,"High Tourism",statewise_tourist_visit[[#This Row],[Total_Vistor]]&gt;250000,"Medium Tourism",statewise_tourist_visit[[#This Row],[Total_Vistor]]&lt;=250000,"Low Tourism")</f>
        <v>Medium Tourism</v>
      </c>
    </row>
    <row r="11" spans="1:13" x14ac:dyDescent="0.3">
      <c r="A11" t="s">
        <v>26</v>
      </c>
      <c r="B11" t="s">
        <v>27</v>
      </c>
      <c r="C11" s="5">
        <v>36467598</v>
      </c>
      <c r="D11" s="5">
        <v>2983436</v>
      </c>
      <c r="E11" s="5">
        <v>9583671</v>
      </c>
      <c r="F11" s="5">
        <v>681230</v>
      </c>
      <c r="G11" s="5">
        <f>statewise_tourist_visit[[#This Row],[Foreign - 2019]]+statewise_tourist_visit[[#This Row],[Foreign - 2020]]</f>
        <v>3664666</v>
      </c>
      <c r="H11" s="5">
        <f>statewise_tourist_visit[[#This Row],[Domestic -2019]]+statewise_tourist_visit[[#This Row],[Domestic -2020]]</f>
        <v>46051269</v>
      </c>
      <c r="I11">
        <f>statewise_tourist_visit[[#This Row],[Total_visitor_Foreign]]+statewise_tourist_visit[[#This Row],[Total_Vistor_Domestic]]</f>
        <v>49715935</v>
      </c>
      <c r="J11">
        <v>-73.7</v>
      </c>
      <c r="K11">
        <v>-77.2</v>
      </c>
      <c r="L11">
        <f>ROUND((statewise_tourist_visit[[#This Row],[Total_visitor_Foreign]]/statewise_tourist_visit[[#This Row],[Total_Vistor]])*100,2)</f>
        <v>7.37</v>
      </c>
      <c r="M11" t="str" cm="1">
        <f t="array" ref="M11">_xlfn.IFS(statewise_tourist_visit[[#This Row],[Total_Vistor]]&gt;80000000,"High Tourism",statewise_tourist_visit[[#This Row],[Total_Vistor]]&gt;250000,"Medium Tourism",statewise_tourist_visit[[#This Row],[Total_Vistor]]&lt;=250000,"Low Tourism")</f>
        <v>Medium Tourism</v>
      </c>
    </row>
    <row r="12" spans="1:13" x14ac:dyDescent="0.3">
      <c r="A12" t="s">
        <v>28</v>
      </c>
      <c r="B12" t="s">
        <v>29</v>
      </c>
      <c r="C12" s="5">
        <v>7127287</v>
      </c>
      <c r="D12" s="5">
        <v>937113</v>
      </c>
      <c r="E12" s="5">
        <v>3258715</v>
      </c>
      <c r="F12" s="5">
        <v>302751</v>
      </c>
      <c r="G12" s="5">
        <f>statewise_tourist_visit[[#This Row],[Foreign - 2019]]+statewise_tourist_visit[[#This Row],[Foreign - 2020]]</f>
        <v>1239864</v>
      </c>
      <c r="H12" s="5">
        <f>statewise_tourist_visit[[#This Row],[Domestic -2019]]+statewise_tourist_visit[[#This Row],[Domestic -2020]]</f>
        <v>10386002</v>
      </c>
      <c r="I12">
        <f>statewise_tourist_visit[[#This Row],[Total_visitor_Foreign]]+statewise_tourist_visit[[#This Row],[Total_Vistor_Domestic]]</f>
        <v>11625866</v>
      </c>
      <c r="J12">
        <v>-54.28</v>
      </c>
      <c r="K12">
        <v>-67.69</v>
      </c>
      <c r="L12">
        <f>ROUND((statewise_tourist_visit[[#This Row],[Total_visitor_Foreign]]/statewise_tourist_visit[[#This Row],[Total_Vistor]])*100,2)</f>
        <v>10.66</v>
      </c>
      <c r="M12" t="str" cm="1">
        <f t="array" ref="M12">_xlfn.IFS(statewise_tourist_visit[[#This Row],[Total_Vistor]]&gt;80000000,"High Tourism",statewise_tourist_visit[[#This Row],[Total_Vistor]]&gt;250000,"Medium Tourism",statewise_tourist_visit[[#This Row],[Total_Vistor]]&lt;=250000,"Low Tourism")</f>
        <v>Medium Tourism</v>
      </c>
    </row>
    <row r="13" spans="1:13" x14ac:dyDescent="0.3">
      <c r="A13" t="s">
        <v>30</v>
      </c>
      <c r="B13" t="s">
        <v>31</v>
      </c>
      <c r="C13" s="5">
        <v>58864661</v>
      </c>
      <c r="D13" s="5">
        <v>595607</v>
      </c>
      <c r="E13" s="5">
        <v>19464517</v>
      </c>
      <c r="F13" s="5">
        <v>210047</v>
      </c>
      <c r="G13" s="5">
        <f>statewise_tourist_visit[[#This Row],[Foreign - 2019]]+statewise_tourist_visit[[#This Row],[Foreign - 2020]]</f>
        <v>805654</v>
      </c>
      <c r="H13" s="5">
        <f>statewise_tourist_visit[[#This Row],[Domestic -2019]]+statewise_tourist_visit[[#This Row],[Domestic -2020]]</f>
        <v>78329178</v>
      </c>
      <c r="I13">
        <f>statewise_tourist_visit[[#This Row],[Total_visitor_Foreign]]+statewise_tourist_visit[[#This Row],[Total_Vistor_Domestic]]</f>
        <v>79134832</v>
      </c>
      <c r="J13">
        <v>-66.930000000000007</v>
      </c>
      <c r="K13">
        <v>-64.73</v>
      </c>
      <c r="L13">
        <f>ROUND((statewise_tourist_visit[[#This Row],[Total_visitor_Foreign]]/statewise_tourist_visit[[#This Row],[Total_Vistor]])*100,2)</f>
        <v>1.02</v>
      </c>
      <c r="M13" t="str" cm="1">
        <f t="array" ref="M13">_xlfn.IFS(statewise_tourist_visit[[#This Row],[Total_Vistor]]&gt;80000000,"High Tourism",statewise_tourist_visit[[#This Row],[Total_Vistor]]&gt;250000,"Medium Tourism",statewise_tourist_visit[[#This Row],[Total_Vistor]]&lt;=250000,"Low Tourism")</f>
        <v>Medium Tourism</v>
      </c>
    </row>
    <row r="14" spans="1:13" x14ac:dyDescent="0.3">
      <c r="A14" t="s">
        <v>32</v>
      </c>
      <c r="B14" t="s">
        <v>33</v>
      </c>
      <c r="C14" s="5">
        <v>4549017</v>
      </c>
      <c r="D14" s="5">
        <v>48046</v>
      </c>
      <c r="E14" s="5">
        <v>2114731</v>
      </c>
      <c r="F14" s="5">
        <v>17474</v>
      </c>
      <c r="G14" s="5">
        <f>statewise_tourist_visit[[#This Row],[Foreign - 2019]]+statewise_tourist_visit[[#This Row],[Foreign - 2020]]</f>
        <v>65520</v>
      </c>
      <c r="H14" s="5">
        <f>statewise_tourist_visit[[#This Row],[Domestic -2019]]+statewise_tourist_visit[[#This Row],[Domestic -2020]]</f>
        <v>6663748</v>
      </c>
      <c r="I14">
        <f>statewise_tourist_visit[[#This Row],[Total_visitor_Foreign]]+statewise_tourist_visit[[#This Row],[Total_Vistor_Domestic]]</f>
        <v>6729268</v>
      </c>
      <c r="J14">
        <v>-53.51</v>
      </c>
      <c r="K14">
        <v>-63.63</v>
      </c>
      <c r="L14">
        <f>ROUND((statewise_tourist_visit[[#This Row],[Total_visitor_Foreign]]/statewise_tourist_visit[[#This Row],[Total_Vistor]])*100,2)</f>
        <v>0.97</v>
      </c>
      <c r="M14" t="str" cm="1">
        <f t="array" ref="M14">_xlfn.IFS(statewise_tourist_visit[[#This Row],[Total_Vistor]]&gt;80000000,"High Tourism",statewise_tourist_visit[[#This Row],[Total_Vistor]]&gt;250000,"Medium Tourism",statewise_tourist_visit[[#This Row],[Total_Vistor]]&lt;=250000,"Low Tourism")</f>
        <v>Medium Tourism</v>
      </c>
    </row>
    <row r="15" spans="1:13" x14ac:dyDescent="0.3">
      <c r="A15" t="s">
        <v>34</v>
      </c>
      <c r="B15" t="s">
        <v>35</v>
      </c>
      <c r="C15" s="5">
        <v>16829231</v>
      </c>
      <c r="D15" s="5">
        <v>382876</v>
      </c>
      <c r="E15" s="5">
        <v>3170714</v>
      </c>
      <c r="F15" s="5">
        <v>42665</v>
      </c>
      <c r="G15" s="5">
        <f>statewise_tourist_visit[[#This Row],[Foreign - 2019]]+statewise_tourist_visit[[#This Row],[Foreign - 2020]]</f>
        <v>425541</v>
      </c>
      <c r="H15" s="5">
        <f>statewise_tourist_visit[[#This Row],[Domestic -2019]]+statewise_tourist_visit[[#This Row],[Domestic -2020]]</f>
        <v>19999945</v>
      </c>
      <c r="I15">
        <f>statewise_tourist_visit[[#This Row],[Total_visitor_Foreign]]+statewise_tourist_visit[[#This Row],[Total_Vistor_Domestic]]</f>
        <v>20425486</v>
      </c>
      <c r="J15">
        <v>-81.16</v>
      </c>
      <c r="K15">
        <v>-88.86</v>
      </c>
      <c r="L15">
        <f>ROUND((statewise_tourist_visit[[#This Row],[Total_visitor_Foreign]]/statewise_tourist_visit[[#This Row],[Total_Vistor]])*100,2)</f>
        <v>2.08</v>
      </c>
      <c r="M15" t="str" cm="1">
        <f t="array" ref="M15">_xlfn.IFS(statewise_tourist_visit[[#This Row],[Total_Vistor]]&gt;80000000,"High Tourism",statewise_tourist_visit[[#This Row],[Total_Vistor]]&gt;250000,"Medium Tourism",statewise_tourist_visit[[#This Row],[Total_Vistor]]&lt;=250000,"Low Tourism")</f>
        <v>Medium Tourism</v>
      </c>
    </row>
    <row r="16" spans="1:13" x14ac:dyDescent="0.3">
      <c r="A16" t="s">
        <v>36</v>
      </c>
      <c r="B16" t="s">
        <v>37</v>
      </c>
      <c r="C16" s="5">
        <v>35580768</v>
      </c>
      <c r="D16" s="5">
        <v>176043</v>
      </c>
      <c r="E16" s="5">
        <v>2574704</v>
      </c>
      <c r="F16" s="5">
        <v>490</v>
      </c>
      <c r="G16" s="5">
        <f>statewise_tourist_visit[[#This Row],[Foreign - 2019]]+statewise_tourist_visit[[#This Row],[Foreign - 2020]]</f>
        <v>176533</v>
      </c>
      <c r="H16" s="5">
        <f>statewise_tourist_visit[[#This Row],[Domestic -2019]]+statewise_tourist_visit[[#This Row],[Domestic -2020]]</f>
        <v>38155472</v>
      </c>
      <c r="I16">
        <f>statewise_tourist_visit[[#This Row],[Total_visitor_Foreign]]+statewise_tourist_visit[[#This Row],[Total_Vistor_Domestic]]</f>
        <v>38332005</v>
      </c>
      <c r="J16">
        <v>-92.76</v>
      </c>
      <c r="K16">
        <v>-99.72</v>
      </c>
      <c r="L16">
        <f>ROUND((statewise_tourist_visit[[#This Row],[Total_visitor_Foreign]]/statewise_tourist_visit[[#This Row],[Total_Vistor]])*100,2)</f>
        <v>0.46</v>
      </c>
      <c r="M16" t="str" cm="1">
        <f t="array" ref="M16">_xlfn.IFS(statewise_tourist_visit[[#This Row],[Total_Vistor]]&gt;80000000,"High Tourism",statewise_tourist_visit[[#This Row],[Total_Vistor]]&gt;250000,"Medium Tourism",statewise_tourist_visit[[#This Row],[Total_Vistor]]&lt;=250000,"Low Tourism")</f>
        <v>Medium Tourism</v>
      </c>
    </row>
    <row r="17" spans="1:13" x14ac:dyDescent="0.3">
      <c r="A17" t="s">
        <v>38</v>
      </c>
      <c r="B17" t="s">
        <v>39</v>
      </c>
      <c r="C17" s="5">
        <v>16163330</v>
      </c>
      <c r="D17" s="5">
        <v>57920</v>
      </c>
      <c r="E17" s="5">
        <v>2519524</v>
      </c>
      <c r="F17" s="5">
        <v>5317</v>
      </c>
      <c r="G17" s="5">
        <f>statewise_tourist_visit[[#This Row],[Foreign - 2019]]+statewise_tourist_visit[[#This Row],[Foreign - 2020]]</f>
        <v>63237</v>
      </c>
      <c r="H17" s="5">
        <f>statewise_tourist_visit[[#This Row],[Domestic -2019]]+statewise_tourist_visit[[#This Row],[Domestic -2020]]</f>
        <v>18682854</v>
      </c>
      <c r="I17">
        <f>statewise_tourist_visit[[#This Row],[Total_visitor_Foreign]]+statewise_tourist_visit[[#This Row],[Total_Vistor_Domestic]]</f>
        <v>18746091</v>
      </c>
      <c r="J17">
        <v>-84.41</v>
      </c>
      <c r="K17">
        <v>-90.82</v>
      </c>
      <c r="L17">
        <f>ROUND((statewise_tourist_visit[[#This Row],[Total_visitor_Foreign]]/statewise_tourist_visit[[#This Row],[Total_Vistor]])*100,2)</f>
        <v>0.34</v>
      </c>
      <c r="M17" t="str" cm="1">
        <f t="array" ref="M17">_xlfn.IFS(statewise_tourist_visit[[#This Row],[Total_Vistor]]&gt;80000000,"High Tourism",statewise_tourist_visit[[#This Row],[Total_Vistor]]&gt;250000,"Medium Tourism",statewise_tourist_visit[[#This Row],[Total_Vistor]]&lt;=250000,"Low Tourism")</f>
        <v>Medium Tourism</v>
      </c>
    </row>
    <row r="18" spans="1:13" x14ac:dyDescent="0.3">
      <c r="A18" t="s">
        <v>40</v>
      </c>
      <c r="B18" t="s">
        <v>41</v>
      </c>
      <c r="C18" s="5">
        <v>227934714</v>
      </c>
      <c r="D18" s="5">
        <v>608754</v>
      </c>
      <c r="E18" s="5">
        <v>77453339</v>
      </c>
      <c r="F18" s="5">
        <v>165325</v>
      </c>
      <c r="G18" s="5">
        <f>statewise_tourist_visit[[#This Row],[Foreign - 2019]]+statewise_tourist_visit[[#This Row],[Foreign - 2020]]</f>
        <v>774079</v>
      </c>
      <c r="H18" s="5">
        <f>statewise_tourist_visit[[#This Row],[Domestic -2019]]+statewise_tourist_visit[[#This Row],[Domestic -2020]]</f>
        <v>305388053</v>
      </c>
      <c r="I18">
        <f>statewise_tourist_visit[[#This Row],[Total_visitor_Foreign]]+statewise_tourist_visit[[#This Row],[Total_Vistor_Domestic]]</f>
        <v>306162132</v>
      </c>
      <c r="J18">
        <v>-66.02</v>
      </c>
      <c r="K18">
        <v>-72.84</v>
      </c>
      <c r="L18">
        <f>ROUND((statewise_tourist_visit[[#This Row],[Total_visitor_Foreign]]/statewise_tourist_visit[[#This Row],[Total_Vistor]])*100,2)</f>
        <v>0.25</v>
      </c>
      <c r="M18" t="str" cm="1">
        <f t="array" ref="M18">_xlfn.IFS(statewise_tourist_visit[[#This Row],[Total_Vistor]]&gt;80000000,"High Tourism",statewise_tourist_visit[[#This Row],[Total_Vistor]]&gt;250000,"Medium Tourism",statewise_tourist_visit[[#This Row],[Total_Vistor]]&lt;=250000,"Low Tourism")</f>
        <v>High Tourism</v>
      </c>
    </row>
    <row r="19" spans="1:13" x14ac:dyDescent="0.3">
      <c r="A19" t="s">
        <v>42</v>
      </c>
      <c r="B19" t="s">
        <v>43</v>
      </c>
      <c r="C19" s="5">
        <v>18384233</v>
      </c>
      <c r="D19" s="5">
        <v>1189771</v>
      </c>
      <c r="E19" s="5">
        <v>4988972</v>
      </c>
      <c r="F19" s="5">
        <v>340755</v>
      </c>
      <c r="G19" s="5">
        <f>statewise_tourist_visit[[#This Row],[Foreign - 2019]]+statewise_tourist_visit[[#This Row],[Foreign - 2020]]</f>
        <v>1530526</v>
      </c>
      <c r="H19" s="5">
        <f>statewise_tourist_visit[[#This Row],[Domestic -2019]]+statewise_tourist_visit[[#This Row],[Domestic -2020]]</f>
        <v>23373205</v>
      </c>
      <c r="I19">
        <f>statewise_tourist_visit[[#This Row],[Total_visitor_Foreign]]+statewise_tourist_visit[[#This Row],[Total_Vistor_Domestic]]</f>
        <v>24903731</v>
      </c>
      <c r="J19">
        <v>-72.86</v>
      </c>
      <c r="K19">
        <v>-71.36</v>
      </c>
      <c r="L19">
        <f>ROUND((statewise_tourist_visit[[#This Row],[Total_visitor_Foreign]]/statewise_tourist_visit[[#This Row],[Total_Vistor]])*100,2)</f>
        <v>6.15</v>
      </c>
      <c r="M19" t="str" cm="1">
        <f t="array" ref="M19">_xlfn.IFS(statewise_tourist_visit[[#This Row],[Total_Vistor]]&gt;80000000,"High Tourism",statewise_tourist_visit[[#This Row],[Total_Vistor]]&gt;250000,"Medium Tourism",statewise_tourist_visit[[#This Row],[Total_Vistor]]&lt;=250000,"Low Tourism")</f>
        <v>Medium Tourism</v>
      </c>
    </row>
    <row r="20" spans="1:13" x14ac:dyDescent="0.3">
      <c r="A20" t="s">
        <v>44</v>
      </c>
      <c r="B20" t="s">
        <v>45</v>
      </c>
      <c r="C20" s="5">
        <v>6985</v>
      </c>
      <c r="D20" s="5">
        <v>820</v>
      </c>
      <c r="E20" s="5">
        <v>3462</v>
      </c>
      <c r="F20" s="5">
        <v>413</v>
      </c>
      <c r="G20" s="5">
        <f>statewise_tourist_visit[[#This Row],[Foreign - 2019]]+statewise_tourist_visit[[#This Row],[Foreign - 2020]]</f>
        <v>1233</v>
      </c>
      <c r="H20" s="5">
        <f>statewise_tourist_visit[[#This Row],[Domestic -2019]]+statewise_tourist_visit[[#This Row],[Domestic -2020]]</f>
        <v>10447</v>
      </c>
      <c r="I20">
        <f>statewise_tourist_visit[[#This Row],[Total_visitor_Foreign]]+statewise_tourist_visit[[#This Row],[Total_Vistor_Domestic]]</f>
        <v>11680</v>
      </c>
      <c r="J20">
        <v>-50.44</v>
      </c>
      <c r="K20">
        <v>-49.63</v>
      </c>
      <c r="L20">
        <f>ROUND((statewise_tourist_visit[[#This Row],[Total_visitor_Foreign]]/statewise_tourist_visit[[#This Row],[Total_Vistor]])*100,2)</f>
        <v>10.56</v>
      </c>
      <c r="M20" t="str" cm="1">
        <f t="array" ref="M20">_xlfn.IFS(statewise_tourist_visit[[#This Row],[Total_Vistor]]&gt;80000000,"High Tourism",statewise_tourist_visit[[#This Row],[Total_Vistor]]&gt;250000,"Medium Tourism",statewise_tourist_visit[[#This Row],[Total_Vistor]]&lt;=250000,"Low Tourism")</f>
        <v>Low Tourism</v>
      </c>
    </row>
    <row r="21" spans="1:13" x14ac:dyDescent="0.3">
      <c r="A21" t="s">
        <v>46</v>
      </c>
      <c r="B21" t="s">
        <v>47</v>
      </c>
      <c r="C21" s="5">
        <v>241285</v>
      </c>
      <c r="D21" s="5">
        <v>38652</v>
      </c>
      <c r="E21" s="5">
        <v>6743</v>
      </c>
      <c r="F21" s="5">
        <v>1126</v>
      </c>
      <c r="G21" s="5">
        <f>statewise_tourist_visit[[#This Row],[Foreign - 2019]]+statewise_tourist_visit[[#This Row],[Foreign - 2020]]</f>
        <v>39778</v>
      </c>
      <c r="H21" s="5">
        <f>statewise_tourist_visit[[#This Row],[Domestic -2019]]+statewise_tourist_visit[[#This Row],[Domestic -2020]]</f>
        <v>248028</v>
      </c>
      <c r="I21">
        <f>statewise_tourist_visit[[#This Row],[Total_visitor_Foreign]]+statewise_tourist_visit[[#This Row],[Total_Vistor_Domestic]]</f>
        <v>287806</v>
      </c>
      <c r="J21">
        <v>-97.21</v>
      </c>
      <c r="K21">
        <v>-97.09</v>
      </c>
      <c r="L21">
        <f>ROUND((statewise_tourist_visit[[#This Row],[Total_visitor_Foreign]]/statewise_tourist_visit[[#This Row],[Total_Vistor]])*100,2)</f>
        <v>13.82</v>
      </c>
      <c r="M21" t="str" cm="1">
        <f t="array" ref="M21">_xlfn.IFS(statewise_tourist_visit[[#This Row],[Total_Vistor]]&gt;80000000,"High Tourism",statewise_tourist_visit[[#This Row],[Total_Vistor]]&gt;250000,"Medium Tourism",statewise_tourist_visit[[#This Row],[Total_Vistor]]&lt;=250000,"Low Tourism")</f>
        <v>Medium Tourism</v>
      </c>
    </row>
    <row r="22" spans="1:13" x14ac:dyDescent="0.3">
      <c r="A22" t="s">
        <v>48</v>
      </c>
      <c r="B22" t="s">
        <v>49</v>
      </c>
      <c r="C22" s="5">
        <v>88707139</v>
      </c>
      <c r="D22" s="5">
        <v>327958</v>
      </c>
      <c r="E22" s="5">
        <v>23519632</v>
      </c>
      <c r="F22" s="5">
        <v>99819</v>
      </c>
      <c r="G22" s="5">
        <f>statewise_tourist_visit[[#This Row],[Foreign - 2019]]+statewise_tourist_visit[[#This Row],[Foreign - 2020]]</f>
        <v>427777</v>
      </c>
      <c r="H22" s="5">
        <f>statewise_tourist_visit[[#This Row],[Domestic -2019]]+statewise_tourist_visit[[#This Row],[Domestic -2020]]</f>
        <v>112226771</v>
      </c>
      <c r="I22">
        <f>statewise_tourist_visit[[#This Row],[Total_visitor_Foreign]]+statewise_tourist_visit[[#This Row],[Total_Vistor_Domestic]]</f>
        <v>112654548</v>
      </c>
      <c r="J22">
        <v>-73.489999999999995</v>
      </c>
      <c r="K22">
        <v>-69.56</v>
      </c>
      <c r="L22">
        <f>ROUND((statewise_tourist_visit[[#This Row],[Total_visitor_Foreign]]/statewise_tourist_visit[[#This Row],[Total_Vistor]])*100,2)</f>
        <v>0.38</v>
      </c>
      <c r="M22" t="str" cm="1">
        <f t="array" ref="M22">_xlfn.IFS(statewise_tourist_visit[[#This Row],[Total_Vistor]]&gt;80000000,"High Tourism",statewise_tourist_visit[[#This Row],[Total_Vistor]]&gt;250000,"Medium Tourism",statewise_tourist_visit[[#This Row],[Total_Vistor]]&lt;=250000,"Low Tourism")</f>
        <v>High Tourism</v>
      </c>
    </row>
    <row r="23" spans="1:13" x14ac:dyDescent="0.3">
      <c r="A23" t="s">
        <v>50</v>
      </c>
      <c r="B23" t="s">
        <v>51</v>
      </c>
      <c r="C23" s="5">
        <v>149294703</v>
      </c>
      <c r="D23" s="5">
        <v>5528704</v>
      </c>
      <c r="E23" s="5">
        <v>39234591</v>
      </c>
      <c r="F23" s="5">
        <v>1262409</v>
      </c>
      <c r="G23" s="5">
        <f>statewise_tourist_visit[[#This Row],[Foreign - 2019]]+statewise_tourist_visit[[#This Row],[Foreign - 2020]]</f>
        <v>6791113</v>
      </c>
      <c r="H23" s="5">
        <f>statewise_tourist_visit[[#This Row],[Domestic -2019]]+statewise_tourist_visit[[#This Row],[Domestic -2020]]</f>
        <v>188529294</v>
      </c>
      <c r="I23">
        <f>statewise_tourist_visit[[#This Row],[Total_visitor_Foreign]]+statewise_tourist_visit[[#This Row],[Total_Vistor_Domestic]]</f>
        <v>195320407</v>
      </c>
      <c r="J23">
        <v>-73.72</v>
      </c>
      <c r="K23">
        <v>-77.2</v>
      </c>
      <c r="L23">
        <f>ROUND((statewise_tourist_visit[[#This Row],[Total_visitor_Foreign]]/statewise_tourist_visit[[#This Row],[Total_Vistor]])*100,2)</f>
        <v>3.48</v>
      </c>
      <c r="M23" t="str" cm="1">
        <f t="array" ref="M23">_xlfn.IFS(statewise_tourist_visit[[#This Row],[Total_Vistor]]&gt;80000000,"High Tourism",statewise_tourist_visit[[#This Row],[Total_Vistor]]&gt;250000,"Medium Tourism",statewise_tourist_visit[[#This Row],[Total_Vistor]]&lt;=250000,"Low Tourism")</f>
        <v>High Tourism</v>
      </c>
    </row>
    <row r="24" spans="1:13" x14ac:dyDescent="0.3">
      <c r="A24" t="s">
        <v>52</v>
      </c>
      <c r="B24" t="s">
        <v>53</v>
      </c>
      <c r="C24" s="5">
        <v>167560</v>
      </c>
      <c r="D24" s="5">
        <v>13608</v>
      </c>
      <c r="E24" s="5">
        <v>49669</v>
      </c>
      <c r="F24" s="5">
        <v>3139</v>
      </c>
      <c r="G24" s="5">
        <f>statewise_tourist_visit[[#This Row],[Foreign - 2019]]+statewise_tourist_visit[[#This Row],[Foreign - 2020]]</f>
        <v>16747</v>
      </c>
      <c r="H24" s="5">
        <f>statewise_tourist_visit[[#This Row],[Domestic -2019]]+statewise_tourist_visit[[#This Row],[Domestic -2020]]</f>
        <v>217229</v>
      </c>
      <c r="I24">
        <f>statewise_tourist_visit[[#This Row],[Total_visitor_Foreign]]+statewise_tourist_visit[[#This Row],[Total_Vistor_Domestic]]</f>
        <v>233976</v>
      </c>
      <c r="J24">
        <v>-70.36</v>
      </c>
      <c r="K24">
        <v>-76.930000000000007</v>
      </c>
      <c r="L24">
        <f>ROUND((statewise_tourist_visit[[#This Row],[Total_visitor_Foreign]]/statewise_tourist_visit[[#This Row],[Total_Vistor]])*100,2)</f>
        <v>7.16</v>
      </c>
      <c r="M24" t="str" cm="1">
        <f t="array" ref="M24">_xlfn.IFS(statewise_tourist_visit[[#This Row],[Total_Vistor]]&gt;80000000,"High Tourism",statewise_tourist_visit[[#This Row],[Total_Vistor]]&gt;250000,"Medium Tourism",statewise_tourist_visit[[#This Row],[Total_Vistor]]&lt;=250000,"Low Tourism")</f>
        <v>Low Tourism</v>
      </c>
    </row>
    <row r="25" spans="1:13" x14ac:dyDescent="0.3">
      <c r="A25" t="s">
        <v>54</v>
      </c>
      <c r="B25" t="s">
        <v>55</v>
      </c>
      <c r="C25" s="5">
        <v>1245633</v>
      </c>
      <c r="D25" s="5">
        <v>25813</v>
      </c>
      <c r="E25" s="5">
        <v>24734</v>
      </c>
      <c r="F25" s="5">
        <v>2311</v>
      </c>
      <c r="G25" s="5">
        <f>statewise_tourist_visit[[#This Row],[Foreign - 2019]]+statewise_tourist_visit[[#This Row],[Foreign - 2020]]</f>
        <v>28124</v>
      </c>
      <c r="H25" s="5">
        <f>statewise_tourist_visit[[#This Row],[Domestic -2019]]+statewise_tourist_visit[[#This Row],[Domestic -2020]]</f>
        <v>1270367</v>
      </c>
      <c r="I25">
        <f>statewise_tourist_visit[[#This Row],[Total_visitor_Foreign]]+statewise_tourist_visit[[#This Row],[Total_Vistor_Domestic]]</f>
        <v>1298491</v>
      </c>
      <c r="J25">
        <v>-98.01</v>
      </c>
      <c r="K25">
        <v>-91.05</v>
      </c>
      <c r="L25">
        <f>ROUND((statewise_tourist_visit[[#This Row],[Total_visitor_Foreign]]/statewise_tourist_visit[[#This Row],[Total_Vistor]])*100,2)</f>
        <v>2.17</v>
      </c>
      <c r="M25" t="str" cm="1">
        <f t="array" ref="M25">_xlfn.IFS(statewise_tourist_visit[[#This Row],[Total_Vistor]]&gt;80000000,"High Tourism",statewise_tourist_visit[[#This Row],[Total_Vistor]]&gt;250000,"Medium Tourism",statewise_tourist_visit[[#This Row],[Total_Vistor]]&lt;=250000,"Low Tourism")</f>
        <v>Medium Tourism</v>
      </c>
    </row>
    <row r="26" spans="1:13" x14ac:dyDescent="0.3">
      <c r="A26" t="s">
        <v>56</v>
      </c>
      <c r="B26" t="s">
        <v>57</v>
      </c>
      <c r="C26" s="5">
        <v>163762</v>
      </c>
      <c r="D26" s="5">
        <v>2249</v>
      </c>
      <c r="E26" s="5">
        <v>30890</v>
      </c>
      <c r="F26" s="5">
        <v>265</v>
      </c>
      <c r="G26" s="5">
        <f>statewise_tourist_visit[[#This Row],[Foreign - 2019]]+statewise_tourist_visit[[#This Row],[Foreign - 2020]]</f>
        <v>2514</v>
      </c>
      <c r="H26" s="5">
        <f>statewise_tourist_visit[[#This Row],[Domestic -2019]]+statewise_tourist_visit[[#This Row],[Domestic -2020]]</f>
        <v>194652</v>
      </c>
      <c r="I26">
        <f>statewise_tourist_visit[[#This Row],[Total_visitor_Foreign]]+statewise_tourist_visit[[#This Row],[Total_Vistor_Domestic]]</f>
        <v>197166</v>
      </c>
      <c r="J26">
        <v>-81.14</v>
      </c>
      <c r="K26">
        <v>-88.22</v>
      </c>
      <c r="L26">
        <f>ROUND((statewise_tourist_visit[[#This Row],[Total_visitor_Foreign]]/statewise_tourist_visit[[#This Row],[Total_Vistor]])*100,2)</f>
        <v>1.28</v>
      </c>
      <c r="M26" t="str" cm="1">
        <f t="array" ref="M26">_xlfn.IFS(statewise_tourist_visit[[#This Row],[Total_Vistor]]&gt;80000000,"High Tourism",statewise_tourist_visit[[#This Row],[Total_Vistor]]&gt;250000,"Medium Tourism",statewise_tourist_visit[[#This Row],[Total_Vistor]]&lt;=250000,"Low Tourism")</f>
        <v>Low Tourism</v>
      </c>
    </row>
    <row r="27" spans="1:13" x14ac:dyDescent="0.3">
      <c r="A27" t="s">
        <v>58</v>
      </c>
      <c r="B27" t="s">
        <v>59</v>
      </c>
      <c r="C27" s="5">
        <v>125949</v>
      </c>
      <c r="D27" s="5">
        <v>5577</v>
      </c>
      <c r="E27" s="5">
        <v>10979</v>
      </c>
      <c r="F27" s="5">
        <v>518</v>
      </c>
      <c r="G27" s="5">
        <f>statewise_tourist_visit[[#This Row],[Foreign - 2019]]+statewise_tourist_visit[[#This Row],[Foreign - 2020]]</f>
        <v>6095</v>
      </c>
      <c r="H27" s="5">
        <f>statewise_tourist_visit[[#This Row],[Domestic -2019]]+statewise_tourist_visit[[#This Row],[Domestic -2020]]</f>
        <v>136928</v>
      </c>
      <c r="I27">
        <f>statewise_tourist_visit[[#This Row],[Total_visitor_Foreign]]+statewise_tourist_visit[[#This Row],[Total_Vistor_Domestic]]</f>
        <v>143023</v>
      </c>
      <c r="J27">
        <v>-91.28</v>
      </c>
      <c r="K27">
        <v>-90.71</v>
      </c>
      <c r="L27">
        <f>ROUND((statewise_tourist_visit[[#This Row],[Total_visitor_Foreign]]/statewise_tourist_visit[[#This Row],[Total_Vistor]])*100,2)</f>
        <v>4.26</v>
      </c>
      <c r="M27" t="str" cm="1">
        <f t="array" ref="M27">_xlfn.IFS(statewise_tourist_visit[[#This Row],[Total_Vistor]]&gt;80000000,"High Tourism",statewise_tourist_visit[[#This Row],[Total_Vistor]]&gt;250000,"Medium Tourism",statewise_tourist_visit[[#This Row],[Total_Vistor]]&lt;=250000,"Low Tourism")</f>
        <v>Low Tourism</v>
      </c>
    </row>
    <row r="28" spans="1:13" x14ac:dyDescent="0.3">
      <c r="A28" t="s">
        <v>60</v>
      </c>
      <c r="B28" t="s">
        <v>61</v>
      </c>
      <c r="C28" s="5">
        <v>15307637</v>
      </c>
      <c r="D28" s="5">
        <v>115128</v>
      </c>
      <c r="E28" s="5">
        <v>4622273</v>
      </c>
      <c r="F28" s="5">
        <v>10206</v>
      </c>
      <c r="G28" s="5">
        <f>statewise_tourist_visit[[#This Row],[Foreign - 2019]]+statewise_tourist_visit[[#This Row],[Foreign - 2020]]</f>
        <v>125334</v>
      </c>
      <c r="H28" s="5">
        <f>statewise_tourist_visit[[#This Row],[Domestic -2019]]+statewise_tourist_visit[[#This Row],[Domestic -2020]]</f>
        <v>19929910</v>
      </c>
      <c r="I28">
        <f>statewise_tourist_visit[[#This Row],[Total_visitor_Foreign]]+statewise_tourist_visit[[#This Row],[Total_Vistor_Domestic]]</f>
        <v>20055244</v>
      </c>
      <c r="J28">
        <v>-69.8</v>
      </c>
      <c r="K28">
        <v>-91.14</v>
      </c>
      <c r="L28">
        <f>ROUND((statewise_tourist_visit[[#This Row],[Total_visitor_Foreign]]/statewise_tourist_visit[[#This Row],[Total_Vistor]])*100,2)</f>
        <v>0.62</v>
      </c>
      <c r="M28" t="str" cm="1">
        <f t="array" ref="M28">_xlfn.IFS(statewise_tourist_visit[[#This Row],[Total_Vistor]]&gt;80000000,"High Tourism",statewise_tourist_visit[[#This Row],[Total_Vistor]]&gt;250000,"Medium Tourism",statewise_tourist_visit[[#This Row],[Total_Vistor]]&lt;=250000,"Low Tourism")</f>
        <v>Medium Tourism</v>
      </c>
    </row>
    <row r="29" spans="1:13" x14ac:dyDescent="0.3">
      <c r="A29" t="s">
        <v>62</v>
      </c>
      <c r="B29" t="s">
        <v>63</v>
      </c>
      <c r="C29" s="5">
        <v>1713248</v>
      </c>
      <c r="D29" s="5">
        <v>149919</v>
      </c>
      <c r="E29" s="5">
        <v>1114942</v>
      </c>
      <c r="F29" s="5">
        <v>92080</v>
      </c>
      <c r="G29" s="5">
        <f>statewise_tourist_visit[[#This Row],[Foreign - 2019]]+statewise_tourist_visit[[#This Row],[Foreign - 2020]]</f>
        <v>241999</v>
      </c>
      <c r="H29" s="5">
        <f>statewise_tourist_visit[[#This Row],[Domestic -2019]]+statewise_tourist_visit[[#This Row],[Domestic -2020]]</f>
        <v>2828190</v>
      </c>
      <c r="I29">
        <f>statewise_tourist_visit[[#This Row],[Total_visitor_Foreign]]+statewise_tourist_visit[[#This Row],[Total_Vistor_Domestic]]</f>
        <v>3070189</v>
      </c>
      <c r="J29">
        <v>-34.92</v>
      </c>
      <c r="K29">
        <v>-38.58</v>
      </c>
      <c r="L29">
        <f>ROUND((statewise_tourist_visit[[#This Row],[Total_visitor_Foreign]]/statewise_tourist_visit[[#This Row],[Total_Vistor]])*100,2)</f>
        <v>7.88</v>
      </c>
      <c r="M29" t="str" cm="1">
        <f t="array" ref="M29">_xlfn.IFS(statewise_tourist_visit[[#This Row],[Total_Vistor]]&gt;80000000,"High Tourism",statewise_tourist_visit[[#This Row],[Total_Vistor]]&gt;250000,"Medium Tourism",statewise_tourist_visit[[#This Row],[Total_Vistor]]&lt;=250000,"Low Tourism")</f>
        <v>Medium Tourism</v>
      </c>
    </row>
    <row r="30" spans="1:13" x14ac:dyDescent="0.3">
      <c r="A30" t="s">
        <v>64</v>
      </c>
      <c r="B30" t="s">
        <v>65</v>
      </c>
      <c r="C30" s="5">
        <v>47385387</v>
      </c>
      <c r="D30" s="5">
        <v>1101343</v>
      </c>
      <c r="E30" s="5">
        <v>16692197</v>
      </c>
      <c r="F30" s="5">
        <v>359114</v>
      </c>
      <c r="G30" s="5">
        <f>statewise_tourist_visit[[#This Row],[Foreign - 2019]]+statewise_tourist_visit[[#This Row],[Foreign - 2020]]</f>
        <v>1460457</v>
      </c>
      <c r="H30" s="5">
        <f>statewise_tourist_visit[[#This Row],[Domestic -2019]]+statewise_tourist_visit[[#This Row],[Domestic -2020]]</f>
        <v>64077584</v>
      </c>
      <c r="I30">
        <f>statewise_tourist_visit[[#This Row],[Total_visitor_Foreign]]+statewise_tourist_visit[[#This Row],[Total_Vistor_Domestic]]</f>
        <v>65538041</v>
      </c>
      <c r="J30">
        <v>-64.77</v>
      </c>
      <c r="K30">
        <v>-67.39</v>
      </c>
      <c r="L30">
        <f>ROUND((statewise_tourist_visit[[#This Row],[Total_visitor_Foreign]]/statewise_tourist_visit[[#This Row],[Total_Vistor]])*100,2)</f>
        <v>2.23</v>
      </c>
      <c r="M30" t="str" cm="1">
        <f t="array" ref="M30">_xlfn.IFS(statewise_tourist_visit[[#This Row],[Total_Vistor]]&gt;80000000,"High Tourism",statewise_tourist_visit[[#This Row],[Total_Vistor]]&gt;250000,"Medium Tourism",statewise_tourist_visit[[#This Row],[Total_Vistor]]&lt;=250000,"Low Tourism")</f>
        <v>Medium Tourism</v>
      </c>
    </row>
    <row r="31" spans="1:13" x14ac:dyDescent="0.3">
      <c r="A31" t="s">
        <v>66</v>
      </c>
      <c r="B31" t="s">
        <v>67</v>
      </c>
      <c r="C31" s="5">
        <v>52220431</v>
      </c>
      <c r="D31" s="5">
        <v>1605560</v>
      </c>
      <c r="E31" s="5">
        <v>15117239</v>
      </c>
      <c r="F31" s="5">
        <v>446457</v>
      </c>
      <c r="G31" s="5">
        <f>statewise_tourist_visit[[#This Row],[Foreign - 2019]]+statewise_tourist_visit[[#This Row],[Foreign - 2020]]</f>
        <v>2052017</v>
      </c>
      <c r="H31" s="5">
        <f>statewise_tourist_visit[[#This Row],[Domestic -2019]]+statewise_tourist_visit[[#This Row],[Domestic -2020]]</f>
        <v>67337670</v>
      </c>
      <c r="I31">
        <f>statewise_tourist_visit[[#This Row],[Total_visitor_Foreign]]+statewise_tourist_visit[[#This Row],[Total_Vistor_Domestic]]</f>
        <v>69389687</v>
      </c>
      <c r="J31">
        <v>-71.05</v>
      </c>
      <c r="K31">
        <v>-72.19</v>
      </c>
      <c r="L31">
        <f>ROUND((statewise_tourist_visit[[#This Row],[Total_visitor_Foreign]]/statewise_tourist_visit[[#This Row],[Total_Vistor]])*100,2)</f>
        <v>2.96</v>
      </c>
      <c r="M31" t="str" cm="1">
        <f t="array" ref="M31">_xlfn.IFS(statewise_tourist_visit[[#This Row],[Total_Vistor]]&gt;80000000,"High Tourism",statewise_tourist_visit[[#This Row],[Total_Vistor]]&gt;250000,"Medium Tourism",statewise_tourist_visit[[#This Row],[Total_Vistor]]&lt;=250000,"Low Tourism")</f>
        <v>Medium Tourism</v>
      </c>
    </row>
    <row r="32" spans="1:13" x14ac:dyDescent="0.3">
      <c r="A32" t="s">
        <v>68</v>
      </c>
      <c r="B32" t="s">
        <v>69</v>
      </c>
      <c r="C32" s="5">
        <v>1421823</v>
      </c>
      <c r="D32" s="5">
        <v>133388</v>
      </c>
      <c r="E32" s="5">
        <v>316408</v>
      </c>
      <c r="F32" s="5">
        <v>19935</v>
      </c>
      <c r="G32" s="5">
        <f>statewise_tourist_visit[[#This Row],[Foreign - 2019]]+statewise_tourist_visit[[#This Row],[Foreign - 2020]]</f>
        <v>153323</v>
      </c>
      <c r="H32" s="5">
        <f>statewise_tourist_visit[[#This Row],[Domestic -2019]]+statewise_tourist_visit[[#This Row],[Domestic -2020]]</f>
        <v>1738231</v>
      </c>
      <c r="I32">
        <f>statewise_tourist_visit[[#This Row],[Total_visitor_Foreign]]+statewise_tourist_visit[[#This Row],[Total_Vistor_Domestic]]</f>
        <v>1891554</v>
      </c>
      <c r="J32">
        <v>-77.75</v>
      </c>
      <c r="K32">
        <v>-85.05</v>
      </c>
      <c r="L32">
        <f>ROUND((statewise_tourist_visit[[#This Row],[Total_visitor_Foreign]]/statewise_tourist_visit[[#This Row],[Total_Vistor]])*100,2)</f>
        <v>8.11</v>
      </c>
      <c r="M32" t="str" cm="1">
        <f t="array" ref="M32">_xlfn.IFS(statewise_tourist_visit[[#This Row],[Total_Vistor]]&gt;80000000,"High Tourism",statewise_tourist_visit[[#This Row],[Total_Vistor]]&gt;250000,"Medium Tourism",statewise_tourist_visit[[#This Row],[Total_Vistor]]&lt;=250000,"Low Tourism")</f>
        <v>Medium Tourism</v>
      </c>
    </row>
    <row r="33" spans="1:13" x14ac:dyDescent="0.3">
      <c r="A33" t="s">
        <v>70</v>
      </c>
      <c r="B33" t="s">
        <v>71</v>
      </c>
      <c r="C33" s="5">
        <v>494865257</v>
      </c>
      <c r="D33" s="5">
        <v>6866327</v>
      </c>
      <c r="E33" s="5">
        <v>140651241</v>
      </c>
      <c r="F33" s="5">
        <v>1228323</v>
      </c>
      <c r="G33" s="5">
        <f>statewise_tourist_visit[[#This Row],[Foreign - 2019]]+statewise_tourist_visit[[#This Row],[Foreign - 2020]]</f>
        <v>8094650</v>
      </c>
      <c r="H33" s="5">
        <f>statewise_tourist_visit[[#This Row],[Domestic -2019]]+statewise_tourist_visit[[#This Row],[Domestic -2020]]</f>
        <v>635516498</v>
      </c>
      <c r="I33">
        <f>statewise_tourist_visit[[#This Row],[Total_visitor_Foreign]]+statewise_tourist_visit[[#This Row],[Total_Vistor_Domestic]]</f>
        <v>643611148</v>
      </c>
      <c r="J33">
        <v>-71.58</v>
      </c>
      <c r="K33">
        <v>-82.11</v>
      </c>
      <c r="L33">
        <f>ROUND((statewise_tourist_visit[[#This Row],[Total_visitor_Foreign]]/statewise_tourist_visit[[#This Row],[Total_Vistor]])*100,2)</f>
        <v>1.26</v>
      </c>
      <c r="M33" t="str" cm="1">
        <f t="array" ref="M33">_xlfn.IFS(statewise_tourist_visit[[#This Row],[Total_Vistor]]&gt;80000000,"High Tourism",statewise_tourist_visit[[#This Row],[Total_Vistor]]&gt;250000,"Medium Tourism",statewise_tourist_visit[[#This Row],[Total_Vistor]]&lt;=250000,"Low Tourism")</f>
        <v>High Tourism</v>
      </c>
    </row>
    <row r="34" spans="1:13" x14ac:dyDescent="0.3">
      <c r="A34" t="s">
        <v>72</v>
      </c>
      <c r="B34" t="s">
        <v>73</v>
      </c>
      <c r="C34" s="5">
        <v>83035894</v>
      </c>
      <c r="D34" s="5">
        <v>323326</v>
      </c>
      <c r="E34" s="5">
        <v>39997001</v>
      </c>
      <c r="F34" s="5">
        <v>46694</v>
      </c>
      <c r="G34" s="5">
        <f>statewise_tourist_visit[[#This Row],[Foreign - 2019]]+statewise_tourist_visit[[#This Row],[Foreign - 2020]]</f>
        <v>370020</v>
      </c>
      <c r="H34" s="5">
        <f>statewise_tourist_visit[[#This Row],[Domestic -2019]]+statewise_tourist_visit[[#This Row],[Domestic -2020]]</f>
        <v>123032895</v>
      </c>
      <c r="I34">
        <f>statewise_tourist_visit[[#This Row],[Total_visitor_Foreign]]+statewise_tourist_visit[[#This Row],[Total_Vistor_Domestic]]</f>
        <v>123402915</v>
      </c>
      <c r="J34">
        <v>-51.83</v>
      </c>
      <c r="K34">
        <v>-85.56</v>
      </c>
      <c r="L34">
        <f>ROUND((statewise_tourist_visit[[#This Row],[Total_visitor_Foreign]]/statewise_tourist_visit[[#This Row],[Total_Vistor]])*100,2)</f>
        <v>0.3</v>
      </c>
      <c r="M34" t="str" cm="1">
        <f t="array" ref="M34">_xlfn.IFS(statewise_tourist_visit[[#This Row],[Total_Vistor]]&gt;80000000,"High Tourism",statewise_tourist_visit[[#This Row],[Total_Vistor]]&gt;250000,"Medium Tourism",statewise_tourist_visit[[#This Row],[Total_Vistor]]&lt;=250000,"Low Tourism")</f>
        <v>High Tourism</v>
      </c>
    </row>
    <row r="35" spans="1:13" x14ac:dyDescent="0.3">
      <c r="A35" t="s">
        <v>74</v>
      </c>
      <c r="B35" t="s">
        <v>75</v>
      </c>
      <c r="C35" s="5">
        <v>437201</v>
      </c>
      <c r="D35" s="5">
        <v>154405</v>
      </c>
      <c r="E35" s="5">
        <v>127815</v>
      </c>
      <c r="F35" s="5">
        <v>31877</v>
      </c>
      <c r="G35" s="5">
        <f>statewise_tourist_visit[[#This Row],[Foreign - 2019]]+statewise_tourist_visit[[#This Row],[Foreign - 2020]]</f>
        <v>186282</v>
      </c>
      <c r="H35" s="5">
        <f>statewise_tourist_visit[[#This Row],[Domestic -2019]]+statewise_tourist_visit[[#This Row],[Domestic -2020]]</f>
        <v>565016</v>
      </c>
      <c r="I35">
        <f>statewise_tourist_visit[[#This Row],[Total_visitor_Foreign]]+statewise_tourist_visit[[#This Row],[Total_Vistor_Domestic]]</f>
        <v>751298</v>
      </c>
      <c r="J35">
        <v>-70.77</v>
      </c>
      <c r="K35">
        <v>-79.349999999999994</v>
      </c>
      <c r="L35">
        <f>ROUND((statewise_tourist_visit[[#This Row],[Total_visitor_Foreign]]/statewise_tourist_visit[[#This Row],[Total_Vistor]])*100,2)</f>
        <v>24.79</v>
      </c>
      <c r="M35" t="str" cm="1">
        <f t="array" ref="M35">_xlfn.IFS(statewise_tourist_visit[[#This Row],[Total_Vistor]]&gt;80000000,"High Tourism",statewise_tourist_visit[[#This Row],[Total_Vistor]]&gt;250000,"Medium Tourism",statewise_tourist_visit[[#This Row],[Total_Vistor]]&lt;=250000,"Low Tourism")</f>
        <v>Medium Tourism</v>
      </c>
    </row>
    <row r="36" spans="1:13" x14ac:dyDescent="0.3">
      <c r="A36" t="s">
        <v>76</v>
      </c>
      <c r="B36" t="s">
        <v>77</v>
      </c>
      <c r="C36" s="5">
        <v>535855162</v>
      </c>
      <c r="D36" s="5">
        <v>4745181</v>
      </c>
      <c r="E36" s="5">
        <v>86122293</v>
      </c>
      <c r="F36" s="5">
        <v>890932</v>
      </c>
      <c r="G36" s="5">
        <f>statewise_tourist_visit[[#This Row],[Foreign - 2019]]+statewise_tourist_visit[[#This Row],[Foreign - 2020]]</f>
        <v>5636113</v>
      </c>
      <c r="H36" s="5">
        <f>statewise_tourist_visit[[#This Row],[Domestic -2019]]+statewise_tourist_visit[[#This Row],[Domestic -2020]]</f>
        <v>621977455</v>
      </c>
      <c r="I36">
        <f>statewise_tourist_visit[[#This Row],[Total_visitor_Foreign]]+statewise_tourist_visit[[#This Row],[Total_Vistor_Domestic]]</f>
        <v>627613568</v>
      </c>
      <c r="J36">
        <v>-83.93</v>
      </c>
      <c r="K36">
        <v>-81.22</v>
      </c>
      <c r="L36">
        <f>ROUND((statewise_tourist_visit[[#This Row],[Total_visitor_Foreign]]/statewise_tourist_visit[[#This Row],[Total_Vistor]])*100,2)</f>
        <v>0.9</v>
      </c>
      <c r="M36" t="str" cm="1">
        <f t="array" ref="M36">_xlfn.IFS(statewise_tourist_visit[[#This Row],[Total_Vistor]]&gt;80000000,"High Tourism",statewise_tourist_visit[[#This Row],[Total_Vistor]]&gt;250000,"Medium Tourism",statewise_tourist_visit[[#This Row],[Total_Vistor]]&lt;=250000,"Low Tourism")</f>
        <v>High Tourism</v>
      </c>
    </row>
    <row r="37" spans="1:13" x14ac:dyDescent="0.3">
      <c r="A37" t="s">
        <v>78</v>
      </c>
      <c r="B37" t="s">
        <v>79</v>
      </c>
      <c r="C37" s="5">
        <v>37585920</v>
      </c>
      <c r="D37" s="5">
        <v>152273</v>
      </c>
      <c r="E37" s="5">
        <v>7005264</v>
      </c>
      <c r="F37" s="5">
        <v>41339</v>
      </c>
      <c r="G37" s="5">
        <f>statewise_tourist_visit[[#This Row],[Foreign - 2019]]+statewise_tourist_visit[[#This Row],[Foreign - 2020]]</f>
        <v>193612</v>
      </c>
      <c r="H37" s="5">
        <f>statewise_tourist_visit[[#This Row],[Domestic -2019]]+statewise_tourist_visit[[#This Row],[Domestic -2020]]</f>
        <v>44591184</v>
      </c>
      <c r="I37">
        <f>statewise_tourist_visit[[#This Row],[Total_visitor_Foreign]]+statewise_tourist_visit[[#This Row],[Total_Vistor_Domestic]]</f>
        <v>44784796</v>
      </c>
      <c r="J37">
        <v>-81.36</v>
      </c>
      <c r="K37">
        <v>-72.849999999999994</v>
      </c>
      <c r="L37">
        <f>ROUND((statewise_tourist_visit[[#This Row],[Total_visitor_Foreign]]/statewise_tourist_visit[[#This Row],[Total_Vistor]])*100,2)</f>
        <v>0.43</v>
      </c>
      <c r="M37" t="str" cm="1">
        <f t="array" ref="M37">_xlfn.IFS(statewise_tourist_visit[[#This Row],[Total_Vistor]]&gt;80000000,"High Tourism",statewise_tourist_visit[[#This Row],[Total_Vistor]]&gt;250000,"Medium Tourism",statewise_tourist_visit[[#This Row],[Total_Vistor]]&lt;=250000,"Low Tourism")</f>
        <v>Medium Tourism</v>
      </c>
    </row>
    <row r="38" spans="1:13" x14ac:dyDescent="0.3">
      <c r="A38" t="s">
        <v>80</v>
      </c>
      <c r="B38" t="s">
        <v>81</v>
      </c>
      <c r="C38" s="5">
        <v>92366025</v>
      </c>
      <c r="D38" s="5">
        <v>1656145</v>
      </c>
      <c r="E38" s="5">
        <v>28841732</v>
      </c>
      <c r="F38" s="5">
        <v>463285</v>
      </c>
      <c r="G38" s="5">
        <f>statewise_tourist_visit[[#This Row],[Foreign - 2019]]+statewise_tourist_visit[[#This Row],[Foreign - 2020]]</f>
        <v>2119430</v>
      </c>
      <c r="H38" s="5">
        <f>statewise_tourist_visit[[#This Row],[Domestic -2019]]+statewise_tourist_visit[[#This Row],[Domestic -2020]]</f>
        <v>121207757</v>
      </c>
      <c r="I38">
        <f>statewise_tourist_visit[[#This Row],[Total_visitor_Foreign]]+statewise_tourist_visit[[#This Row],[Total_Vistor_Domestic]]</f>
        <v>123327187</v>
      </c>
      <c r="J38">
        <v>-68.77</v>
      </c>
      <c r="K38">
        <v>-72.03</v>
      </c>
      <c r="L38">
        <f>ROUND((statewise_tourist_visit[[#This Row],[Total_visitor_Foreign]]/statewise_tourist_visit[[#This Row],[Total_Vistor]])*100,2)</f>
        <v>1.72</v>
      </c>
      <c r="M38" t="str" cm="1">
        <f t="array" ref="M38">_xlfn.IFS(statewise_tourist_visit[[#This Row],[Total_Vistor]]&gt;80000000,"High Tourism",statewise_tourist_visit[[#This Row],[Total_Vistor]]&gt;250000,"Medium Tourism",statewise_tourist_visit[[#This Row],[Total_Vistor]]&lt;=250000,"Low Tourism")</f>
        <v>High Tourism</v>
      </c>
    </row>
    <row r="39" spans="1:13" x14ac:dyDescent="0.3">
      <c r="A39" t="s">
        <v>82</v>
      </c>
      <c r="B39" t="s">
        <v>82</v>
      </c>
      <c r="C39" s="5">
        <v>2321982663</v>
      </c>
      <c r="D39" s="5">
        <v>31408666</v>
      </c>
      <c r="E39" s="5">
        <v>610216157</v>
      </c>
      <c r="F39" s="5">
        <v>7171769</v>
      </c>
      <c r="G39" s="5">
        <f>statewise_tourist_visit[[#This Row],[Foreign - 2019]]+statewise_tourist_visit[[#This Row],[Foreign - 2020]]</f>
        <v>38580435</v>
      </c>
      <c r="H39" s="5">
        <f>statewise_tourist_visit[[#This Row],[Domestic -2019]]+statewise_tourist_visit[[#This Row],[Domestic -2020]]</f>
        <v>2932198820</v>
      </c>
      <c r="I39">
        <f>statewise_tourist_visit[[#This Row],[Total_visitor_Foreign]]+statewise_tourist_visit[[#This Row],[Total_Vistor_Domestic]]</f>
        <v>2970779255</v>
      </c>
      <c r="J39">
        <v>-0.73699999999999999</v>
      </c>
      <c r="K39">
        <v>-0.77200000000000002</v>
      </c>
      <c r="L39">
        <f>ROUND((statewise_tourist_visit[[#This Row],[Total_visitor_Foreign]]/statewise_tourist_visit[[#This Row],[Total_Vistor]])*100,2)</f>
        <v>1.3</v>
      </c>
      <c r="M39" t="str" cm="1">
        <f t="array" ref="M39">_xlfn.IFS(statewise_tourist_visit[[#This Row],[Total_Vistor]]&gt;80000000,"High Tourism",statewise_tourist_visit[[#This Row],[Total_Vistor]]&gt;250000,"Medium Tourism",statewise_tourist_visit[[#This Row],[Total_Vistor]]&lt;=250000,"Low Tourism")</f>
        <v>High Tourism</v>
      </c>
    </row>
    <row r="40" spans="1:13" x14ac:dyDescent="0.3">
      <c r="A40" t="s">
        <v>83</v>
      </c>
      <c r="B40" t="s">
        <v>83</v>
      </c>
      <c r="G40" s="5">
        <f>statewise_tourist_visit[[#This Row],[Foreign - 2019]]+statewise_tourist_visit[[#This Row],[Foreign - 2020]]</f>
        <v>0</v>
      </c>
      <c r="H40" s="5">
        <f>statewise_tourist_visit[[#This Row],[Domestic -2019]]+statewise_tourist_visit[[#This Row],[Domestic -2020]]</f>
        <v>0</v>
      </c>
      <c r="I40">
        <f>statewise_tourist_visit[[#This Row],[Total_visitor_Foreign]]+statewise_tourist_visit[[#This Row],[Total_Vistor_Domestic]]</f>
        <v>0</v>
      </c>
      <c r="L40" t="e">
        <f>ROUND((statewise_tourist_visit[[#This Row],[Total_visitor_Foreign]]/statewise_tourist_visit[[#This Row],[Total_Vistor]])*100,2)</f>
        <v>#DIV/0!</v>
      </c>
      <c r="M40" t="str" cm="1">
        <f t="array" ref="M40">_xlfn.IFS(statewise_tourist_visit[[#This Row],[Total_Vistor]]&gt;80000000,"High Tourism",statewise_tourist_visit[[#This Row],[Total_Vistor]]&gt;250000,"Medium Tourism",statewise_tourist_visit[[#This Row],[Total_Vistor]]&lt;=250000,"Low Tourism")</f>
        <v>Low Tourism</v>
      </c>
    </row>
    <row r="41" spans="1:13" x14ac:dyDescent="0.3">
      <c r="A41" t="s">
        <v>83</v>
      </c>
      <c r="B41" t="s">
        <v>83</v>
      </c>
      <c r="G41" s="5">
        <f>statewise_tourist_visit[[#This Row],[Foreign - 2019]]+statewise_tourist_visit[[#This Row],[Foreign - 2020]]</f>
        <v>0</v>
      </c>
      <c r="H41" s="5">
        <f>statewise_tourist_visit[[#This Row],[Domestic -2019]]+statewise_tourist_visit[[#This Row],[Domestic -2020]]</f>
        <v>0</v>
      </c>
      <c r="I41">
        <f>statewise_tourist_visit[[#This Row],[Total_visitor_Foreign]]+statewise_tourist_visit[[#This Row],[Total_Vistor_Domestic]]</f>
        <v>0</v>
      </c>
      <c r="L41" t="e">
        <f>ROUND((statewise_tourist_visit[[#This Row],[Total_visitor_Foreign]]/statewise_tourist_visit[[#This Row],[Total_Vistor]])*100,2)</f>
        <v>#DIV/0!</v>
      </c>
      <c r="M41" t="str" cm="1">
        <f t="array" ref="M41">_xlfn.IFS(statewise_tourist_visit[[#This Row],[Total_Vistor]]&gt;80000000,"High Tourism",statewise_tourist_visit[[#This Row],[Total_Vistor]]&gt;250000,"Medium Tourism",statewise_tourist_visit[[#This Row],[Total_Vistor]]&lt;=250000,"Low Tourism")</f>
        <v>Low Tourism</v>
      </c>
    </row>
    <row r="42" spans="1:13" x14ac:dyDescent="0.3">
      <c r="A42" t="s">
        <v>83</v>
      </c>
      <c r="B42" t="s">
        <v>83</v>
      </c>
    </row>
    <row r="43" spans="1:13" x14ac:dyDescent="0.3">
      <c r="A43" t="s">
        <v>83</v>
      </c>
      <c r="B43" t="s">
        <v>83</v>
      </c>
    </row>
    <row r="47" spans="1:13" x14ac:dyDescent="0.3">
      <c r="H47" s="5">
        <f>AVERAGE(J2:J39,K2:K39)</f>
        <v>-73.174986842105298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87A5D-8A80-449D-A6F7-99429BF45B75}">
  <dimension ref="A1:H41"/>
  <sheetViews>
    <sheetView workbookViewId="0">
      <selection activeCell="H18" sqref="H18"/>
    </sheetView>
  </sheetViews>
  <sheetFormatPr defaultRowHeight="14.4" x14ac:dyDescent="0.3"/>
  <cols>
    <col min="1" max="1" width="10.77734375" bestFit="1" customWidth="1"/>
    <col min="2" max="2" width="19.6640625" bestFit="1" customWidth="1"/>
    <col min="3" max="3" width="16.33203125" bestFit="1" customWidth="1"/>
    <col min="4" max="4" width="15.21875" bestFit="1" customWidth="1"/>
    <col min="5" max="5" width="16.33203125" bestFit="1" customWidth="1"/>
    <col min="6" max="6" width="15.21875" bestFit="1" customWidth="1"/>
    <col min="7" max="7" width="26.5546875" bestFit="1" customWidth="1"/>
    <col min="8" max="8" width="25.77734375" bestFit="1" customWidth="1"/>
  </cols>
  <sheetData>
    <row r="1" spans="1:8" x14ac:dyDescent="0.3">
      <c r="A1" t="s">
        <v>0</v>
      </c>
      <c r="B1" t="s">
        <v>1</v>
      </c>
      <c r="C1" t="s">
        <v>2</v>
      </c>
      <c r="D1" t="s">
        <v>3</v>
      </c>
      <c r="E1" t="s">
        <v>4</v>
      </c>
      <c r="F1" t="s">
        <v>5</v>
      </c>
      <c r="G1" t="s">
        <v>6</v>
      </c>
      <c r="H1" t="s">
        <v>7</v>
      </c>
    </row>
    <row r="2" spans="1:8" x14ac:dyDescent="0.3">
      <c r="A2" t="s">
        <v>8</v>
      </c>
      <c r="B2" t="s">
        <v>9</v>
      </c>
      <c r="C2">
        <v>505398</v>
      </c>
      <c r="D2">
        <v>16206</v>
      </c>
      <c r="E2">
        <v>191207</v>
      </c>
      <c r="F2">
        <v>5412</v>
      </c>
      <c r="G2">
        <v>-62.17</v>
      </c>
      <c r="H2">
        <v>-66.599999999999994</v>
      </c>
    </row>
    <row r="3" spans="1:8" x14ac:dyDescent="0.3">
      <c r="A3" t="s">
        <v>10</v>
      </c>
      <c r="B3" t="s">
        <v>11</v>
      </c>
      <c r="C3">
        <v>237051508</v>
      </c>
      <c r="D3">
        <v>280356</v>
      </c>
      <c r="E3">
        <v>70828590</v>
      </c>
      <c r="F3">
        <v>67591</v>
      </c>
      <c r="G3">
        <v>-70.12</v>
      </c>
      <c r="H3">
        <v>-75.89</v>
      </c>
    </row>
    <row r="4" spans="1:8" x14ac:dyDescent="0.3">
      <c r="A4" t="s">
        <v>12</v>
      </c>
      <c r="B4" t="s">
        <v>13</v>
      </c>
      <c r="C4">
        <v>555639</v>
      </c>
      <c r="D4">
        <v>7825</v>
      </c>
      <c r="E4">
        <v>42871</v>
      </c>
      <c r="F4">
        <v>961</v>
      </c>
      <c r="G4">
        <v>-92.28</v>
      </c>
      <c r="H4">
        <v>-87.72</v>
      </c>
    </row>
    <row r="5" spans="1:8" x14ac:dyDescent="0.3">
      <c r="A5" t="s">
        <v>14</v>
      </c>
      <c r="B5" t="s">
        <v>15</v>
      </c>
      <c r="C5">
        <v>5447805</v>
      </c>
      <c r="D5">
        <v>26878</v>
      </c>
      <c r="E5">
        <v>1266898</v>
      </c>
      <c r="F5">
        <v>7285</v>
      </c>
      <c r="G5">
        <v>-76.739999999999995</v>
      </c>
      <c r="H5">
        <v>-72.900000000000006</v>
      </c>
    </row>
    <row r="6" spans="1:8" x14ac:dyDescent="0.3">
      <c r="A6" t="s">
        <v>16</v>
      </c>
      <c r="B6" t="s">
        <v>17</v>
      </c>
      <c r="C6">
        <v>33990038</v>
      </c>
      <c r="D6">
        <v>1093141</v>
      </c>
      <c r="E6">
        <v>5638024</v>
      </c>
      <c r="F6">
        <v>308080</v>
      </c>
      <c r="G6">
        <v>-83.41</v>
      </c>
      <c r="H6">
        <v>-71.819999999999993</v>
      </c>
    </row>
    <row r="7" spans="1:8" x14ac:dyDescent="0.3">
      <c r="A7" t="s">
        <v>18</v>
      </c>
      <c r="B7" t="s">
        <v>19</v>
      </c>
      <c r="C7">
        <v>1563795</v>
      </c>
      <c r="D7">
        <v>44132</v>
      </c>
      <c r="E7">
        <v>417953</v>
      </c>
      <c r="F7">
        <v>12218</v>
      </c>
      <c r="G7">
        <v>-73.27</v>
      </c>
      <c r="H7">
        <v>-72.31</v>
      </c>
    </row>
    <row r="8" spans="1:8" x14ac:dyDescent="0.3">
      <c r="A8" t="s">
        <v>20</v>
      </c>
      <c r="B8" t="s">
        <v>21</v>
      </c>
      <c r="C8">
        <v>17304506</v>
      </c>
      <c r="D8">
        <v>6817</v>
      </c>
      <c r="E8">
        <v>2810227</v>
      </c>
      <c r="F8">
        <v>2322</v>
      </c>
      <c r="G8">
        <v>-83.76</v>
      </c>
      <c r="H8">
        <v>-65.94</v>
      </c>
    </row>
    <row r="9" spans="1:8" x14ac:dyDescent="0.3">
      <c r="A9" t="s">
        <v>22</v>
      </c>
      <c r="B9" t="s">
        <v>23</v>
      </c>
      <c r="C9">
        <v>618330</v>
      </c>
      <c r="D9">
        <v>1666</v>
      </c>
      <c r="E9">
        <v>104959</v>
      </c>
      <c r="F9">
        <v>222</v>
      </c>
      <c r="G9">
        <v>-83.03</v>
      </c>
      <c r="H9">
        <v>-86.67</v>
      </c>
    </row>
    <row r="10" spans="1:8" x14ac:dyDescent="0.3">
      <c r="A10" t="s">
        <v>24</v>
      </c>
      <c r="B10" t="s">
        <v>25</v>
      </c>
      <c r="C10">
        <v>897804</v>
      </c>
      <c r="D10">
        <v>5703</v>
      </c>
      <c r="E10">
        <v>297436</v>
      </c>
      <c r="F10">
        <v>1382</v>
      </c>
      <c r="G10">
        <v>-66.87</v>
      </c>
      <c r="H10">
        <v>-75.77</v>
      </c>
    </row>
    <row r="11" spans="1:8" x14ac:dyDescent="0.3">
      <c r="A11" t="s">
        <v>26</v>
      </c>
      <c r="B11" t="s">
        <v>27</v>
      </c>
      <c r="C11">
        <v>36467598</v>
      </c>
      <c r="D11">
        <v>2983436</v>
      </c>
      <c r="E11">
        <v>9583671</v>
      </c>
      <c r="F11">
        <v>681230</v>
      </c>
      <c r="G11">
        <v>-73.7</v>
      </c>
      <c r="H11">
        <v>-77.2</v>
      </c>
    </row>
    <row r="12" spans="1:8" x14ac:dyDescent="0.3">
      <c r="A12" t="s">
        <v>28</v>
      </c>
      <c r="B12" t="s">
        <v>29</v>
      </c>
      <c r="C12">
        <v>7127287</v>
      </c>
      <c r="D12">
        <v>937113</v>
      </c>
      <c r="E12">
        <v>3258715</v>
      </c>
      <c r="F12">
        <v>302751</v>
      </c>
      <c r="G12">
        <v>-54.28</v>
      </c>
      <c r="H12">
        <v>-67.69</v>
      </c>
    </row>
    <row r="13" spans="1:8" x14ac:dyDescent="0.3">
      <c r="A13" t="s">
        <v>30</v>
      </c>
      <c r="B13" t="s">
        <v>31</v>
      </c>
      <c r="C13">
        <v>58864661</v>
      </c>
      <c r="D13">
        <v>595607</v>
      </c>
      <c r="E13">
        <v>19464517</v>
      </c>
      <c r="F13">
        <v>210047</v>
      </c>
      <c r="G13">
        <v>-66.930000000000007</v>
      </c>
      <c r="H13">
        <v>-64.73</v>
      </c>
    </row>
    <row r="14" spans="1:8" x14ac:dyDescent="0.3">
      <c r="A14" t="s">
        <v>32</v>
      </c>
      <c r="B14" t="s">
        <v>33</v>
      </c>
      <c r="C14">
        <v>4549017</v>
      </c>
      <c r="D14">
        <v>48046</v>
      </c>
      <c r="E14">
        <v>2114731</v>
      </c>
      <c r="F14">
        <v>17474</v>
      </c>
      <c r="G14">
        <v>-53.51</v>
      </c>
      <c r="H14">
        <v>-63.63</v>
      </c>
    </row>
    <row r="15" spans="1:8" x14ac:dyDescent="0.3">
      <c r="A15" t="s">
        <v>34</v>
      </c>
      <c r="B15" t="s">
        <v>35</v>
      </c>
      <c r="C15">
        <v>16829231</v>
      </c>
      <c r="D15">
        <v>382876</v>
      </c>
      <c r="E15">
        <v>3170714</v>
      </c>
      <c r="F15">
        <v>42665</v>
      </c>
      <c r="G15">
        <v>-81.16</v>
      </c>
      <c r="H15">
        <v>-88.86</v>
      </c>
    </row>
    <row r="16" spans="1:8" x14ac:dyDescent="0.3">
      <c r="A16" t="s">
        <v>36</v>
      </c>
      <c r="B16" t="s">
        <v>37</v>
      </c>
      <c r="C16">
        <v>35580768</v>
      </c>
      <c r="D16">
        <v>176043</v>
      </c>
      <c r="E16">
        <v>2574704</v>
      </c>
      <c r="F16">
        <v>490</v>
      </c>
      <c r="G16">
        <v>-92.76</v>
      </c>
      <c r="H16">
        <v>-99.72</v>
      </c>
    </row>
    <row r="17" spans="1:8" x14ac:dyDescent="0.3">
      <c r="A17" t="s">
        <v>38</v>
      </c>
      <c r="B17" t="s">
        <v>39</v>
      </c>
      <c r="C17">
        <v>16163330</v>
      </c>
      <c r="D17">
        <v>57920</v>
      </c>
      <c r="E17">
        <v>2519524</v>
      </c>
      <c r="F17">
        <v>5317</v>
      </c>
      <c r="G17">
        <v>-84.41</v>
      </c>
      <c r="H17">
        <v>-90.82</v>
      </c>
    </row>
    <row r="18" spans="1:8" x14ac:dyDescent="0.3">
      <c r="A18" t="s">
        <v>40</v>
      </c>
      <c r="B18" t="s">
        <v>41</v>
      </c>
      <c r="C18">
        <v>227934714</v>
      </c>
      <c r="D18">
        <v>608754</v>
      </c>
      <c r="E18">
        <v>77453339</v>
      </c>
      <c r="F18">
        <v>165325</v>
      </c>
      <c r="G18">
        <v>-66.02</v>
      </c>
      <c r="H18">
        <v>-72.84</v>
      </c>
    </row>
    <row r="19" spans="1:8" x14ac:dyDescent="0.3">
      <c r="A19" t="s">
        <v>42</v>
      </c>
      <c r="B19" t="s">
        <v>43</v>
      </c>
      <c r="C19">
        <v>18384233</v>
      </c>
      <c r="D19">
        <v>1189771</v>
      </c>
      <c r="E19">
        <v>4988972</v>
      </c>
      <c r="F19">
        <v>340755</v>
      </c>
      <c r="G19">
        <v>-72.86</v>
      </c>
      <c r="H19">
        <v>-71.36</v>
      </c>
    </row>
    <row r="20" spans="1:8" x14ac:dyDescent="0.3">
      <c r="A20" t="s">
        <v>44</v>
      </c>
      <c r="B20" t="s">
        <v>45</v>
      </c>
      <c r="C20">
        <v>6985</v>
      </c>
      <c r="D20">
        <v>820</v>
      </c>
      <c r="E20">
        <v>3462</v>
      </c>
      <c r="F20">
        <v>413</v>
      </c>
      <c r="G20">
        <v>-50.44</v>
      </c>
      <c r="H20">
        <v>-49.63</v>
      </c>
    </row>
    <row r="21" spans="1:8" x14ac:dyDescent="0.3">
      <c r="A21" t="s">
        <v>46</v>
      </c>
      <c r="B21" t="s">
        <v>47</v>
      </c>
      <c r="C21">
        <v>241285</v>
      </c>
      <c r="D21">
        <v>38652</v>
      </c>
      <c r="E21">
        <v>6743</v>
      </c>
      <c r="F21">
        <v>1126</v>
      </c>
      <c r="G21">
        <v>-97.21</v>
      </c>
      <c r="H21">
        <v>-97.09</v>
      </c>
    </row>
    <row r="22" spans="1:8" x14ac:dyDescent="0.3">
      <c r="A22" t="s">
        <v>48</v>
      </c>
      <c r="B22" t="s">
        <v>49</v>
      </c>
      <c r="C22">
        <v>88707139</v>
      </c>
      <c r="D22">
        <v>327958</v>
      </c>
      <c r="E22">
        <v>23519632</v>
      </c>
      <c r="F22">
        <v>99819</v>
      </c>
      <c r="G22">
        <v>-73.489999999999995</v>
      </c>
      <c r="H22">
        <v>-69.56</v>
      </c>
    </row>
    <row r="23" spans="1:8" x14ac:dyDescent="0.3">
      <c r="A23" t="s">
        <v>50</v>
      </c>
      <c r="B23" t="s">
        <v>51</v>
      </c>
      <c r="C23">
        <v>149294703</v>
      </c>
      <c r="D23">
        <v>5528704</v>
      </c>
      <c r="E23">
        <v>39234591</v>
      </c>
      <c r="F23">
        <v>1262409</v>
      </c>
      <c r="G23">
        <v>-73.72</v>
      </c>
      <c r="H23">
        <v>-77.2</v>
      </c>
    </row>
    <row r="24" spans="1:8" x14ac:dyDescent="0.3">
      <c r="A24" t="s">
        <v>52</v>
      </c>
      <c r="B24" t="s">
        <v>53</v>
      </c>
      <c r="C24">
        <v>167560</v>
      </c>
      <c r="D24">
        <v>13608</v>
      </c>
      <c r="E24">
        <v>49669</v>
      </c>
      <c r="F24">
        <v>3139</v>
      </c>
      <c r="G24">
        <v>-70.36</v>
      </c>
      <c r="H24">
        <v>-76.930000000000007</v>
      </c>
    </row>
    <row r="25" spans="1:8" x14ac:dyDescent="0.3">
      <c r="A25" t="s">
        <v>54</v>
      </c>
      <c r="B25" t="s">
        <v>55</v>
      </c>
      <c r="C25">
        <v>1245633</v>
      </c>
      <c r="D25">
        <v>25813</v>
      </c>
      <c r="E25">
        <v>24734</v>
      </c>
      <c r="F25">
        <v>2311</v>
      </c>
      <c r="G25">
        <v>-98.01</v>
      </c>
      <c r="H25">
        <v>-91.05</v>
      </c>
    </row>
    <row r="26" spans="1:8" x14ac:dyDescent="0.3">
      <c r="A26" t="s">
        <v>56</v>
      </c>
      <c r="B26" t="s">
        <v>57</v>
      </c>
      <c r="C26">
        <v>163762</v>
      </c>
      <c r="D26">
        <v>2249</v>
      </c>
      <c r="E26">
        <v>30890</v>
      </c>
      <c r="F26">
        <v>265</v>
      </c>
      <c r="G26">
        <v>-81.14</v>
      </c>
      <c r="H26">
        <v>-88.22</v>
      </c>
    </row>
    <row r="27" spans="1:8" x14ac:dyDescent="0.3">
      <c r="A27" t="s">
        <v>58</v>
      </c>
      <c r="B27" t="s">
        <v>59</v>
      </c>
      <c r="C27">
        <v>125949</v>
      </c>
      <c r="D27">
        <v>5577</v>
      </c>
      <c r="E27">
        <v>10979</v>
      </c>
      <c r="F27">
        <v>518</v>
      </c>
      <c r="G27">
        <v>-91.28</v>
      </c>
      <c r="H27">
        <v>-90.71</v>
      </c>
    </row>
    <row r="28" spans="1:8" x14ac:dyDescent="0.3">
      <c r="A28" t="s">
        <v>60</v>
      </c>
      <c r="B28" t="s">
        <v>61</v>
      </c>
      <c r="C28">
        <v>15307637</v>
      </c>
      <c r="D28">
        <v>115128</v>
      </c>
      <c r="E28">
        <v>4622273</v>
      </c>
      <c r="F28">
        <v>10206</v>
      </c>
      <c r="G28">
        <v>-69.8</v>
      </c>
      <c r="H28">
        <v>-91.14</v>
      </c>
    </row>
    <row r="29" spans="1:8" x14ac:dyDescent="0.3">
      <c r="A29" t="s">
        <v>62</v>
      </c>
      <c r="B29" t="s">
        <v>63</v>
      </c>
      <c r="C29">
        <v>1713248</v>
      </c>
      <c r="D29">
        <v>149919</v>
      </c>
      <c r="E29">
        <v>1114942</v>
      </c>
      <c r="F29">
        <v>92080</v>
      </c>
      <c r="G29">
        <v>-34.92</v>
      </c>
      <c r="H29">
        <v>-38.58</v>
      </c>
    </row>
    <row r="30" spans="1:8" x14ac:dyDescent="0.3">
      <c r="A30" t="s">
        <v>64</v>
      </c>
      <c r="B30" t="s">
        <v>65</v>
      </c>
      <c r="C30">
        <v>47385387</v>
      </c>
      <c r="D30">
        <v>1101343</v>
      </c>
      <c r="E30">
        <v>16692197</v>
      </c>
      <c r="F30">
        <v>359114</v>
      </c>
      <c r="G30">
        <v>-64.77</v>
      </c>
      <c r="H30">
        <v>-67.39</v>
      </c>
    </row>
    <row r="31" spans="1:8" x14ac:dyDescent="0.3">
      <c r="A31" t="s">
        <v>66</v>
      </c>
      <c r="B31" t="s">
        <v>67</v>
      </c>
      <c r="C31">
        <v>52220431</v>
      </c>
      <c r="D31">
        <v>1605560</v>
      </c>
      <c r="E31">
        <v>15117239</v>
      </c>
      <c r="F31">
        <v>446457</v>
      </c>
      <c r="G31">
        <v>-71.05</v>
      </c>
      <c r="H31">
        <v>-72.19</v>
      </c>
    </row>
    <row r="32" spans="1:8" x14ac:dyDescent="0.3">
      <c r="A32" t="s">
        <v>68</v>
      </c>
      <c r="B32" t="s">
        <v>69</v>
      </c>
      <c r="C32">
        <v>1421823</v>
      </c>
      <c r="D32">
        <v>133388</v>
      </c>
      <c r="E32">
        <v>316408</v>
      </c>
      <c r="F32">
        <v>19935</v>
      </c>
      <c r="G32">
        <v>-77.75</v>
      </c>
      <c r="H32">
        <v>-85.05</v>
      </c>
    </row>
    <row r="33" spans="1:8" x14ac:dyDescent="0.3">
      <c r="A33" t="s">
        <v>70</v>
      </c>
      <c r="B33" t="s">
        <v>71</v>
      </c>
      <c r="C33">
        <v>494865257</v>
      </c>
      <c r="D33">
        <v>6866327</v>
      </c>
      <c r="E33">
        <v>140651241</v>
      </c>
      <c r="F33">
        <v>1228323</v>
      </c>
      <c r="G33">
        <v>-71.58</v>
      </c>
      <c r="H33">
        <v>-82.11</v>
      </c>
    </row>
    <row r="34" spans="1:8" x14ac:dyDescent="0.3">
      <c r="A34" t="s">
        <v>72</v>
      </c>
      <c r="B34" t="s">
        <v>73</v>
      </c>
      <c r="C34">
        <v>83035894</v>
      </c>
      <c r="D34">
        <v>323326</v>
      </c>
      <c r="E34">
        <v>39997001</v>
      </c>
      <c r="F34">
        <v>46694</v>
      </c>
      <c r="G34">
        <v>-51.83</v>
      </c>
      <c r="H34">
        <v>-85.56</v>
      </c>
    </row>
    <row r="35" spans="1:8" x14ac:dyDescent="0.3">
      <c r="A35" t="s">
        <v>74</v>
      </c>
      <c r="B35" t="s">
        <v>75</v>
      </c>
      <c r="C35">
        <v>437201</v>
      </c>
      <c r="D35">
        <v>154405</v>
      </c>
      <c r="E35">
        <v>127815</v>
      </c>
      <c r="F35">
        <v>31877</v>
      </c>
      <c r="G35">
        <v>-70.77</v>
      </c>
      <c r="H35">
        <v>-79.349999999999994</v>
      </c>
    </row>
    <row r="36" spans="1:8" x14ac:dyDescent="0.3">
      <c r="A36" t="s">
        <v>76</v>
      </c>
      <c r="B36" t="s">
        <v>77</v>
      </c>
      <c r="C36">
        <v>535855162</v>
      </c>
      <c r="D36">
        <v>4745181</v>
      </c>
      <c r="E36">
        <v>86122293</v>
      </c>
      <c r="F36">
        <v>890932</v>
      </c>
      <c r="G36">
        <v>-83.93</v>
      </c>
      <c r="H36">
        <v>-81.22</v>
      </c>
    </row>
    <row r="37" spans="1:8" x14ac:dyDescent="0.3">
      <c r="A37" t="s">
        <v>78</v>
      </c>
      <c r="B37" t="s">
        <v>79</v>
      </c>
      <c r="C37">
        <v>37585920</v>
      </c>
      <c r="D37">
        <v>152273</v>
      </c>
      <c r="E37">
        <v>7005264</v>
      </c>
      <c r="F37">
        <v>41339</v>
      </c>
      <c r="G37">
        <v>-81.36</v>
      </c>
      <c r="H37">
        <v>-72.849999999999994</v>
      </c>
    </row>
    <row r="38" spans="1:8" x14ac:dyDescent="0.3">
      <c r="A38" t="s">
        <v>80</v>
      </c>
      <c r="B38" t="s">
        <v>81</v>
      </c>
      <c r="C38">
        <v>92366025</v>
      </c>
      <c r="D38">
        <v>1656145</v>
      </c>
      <c r="E38">
        <v>28841732</v>
      </c>
      <c r="F38">
        <v>463285</v>
      </c>
      <c r="G38">
        <v>-68.77</v>
      </c>
      <c r="H38">
        <v>-72.03</v>
      </c>
    </row>
    <row r="39" spans="1:8" x14ac:dyDescent="0.3">
      <c r="A39" t="s">
        <v>82</v>
      </c>
      <c r="B39" t="s">
        <v>82</v>
      </c>
      <c r="C39">
        <v>2321982663</v>
      </c>
      <c r="D39">
        <v>31408666</v>
      </c>
      <c r="E39">
        <v>610216157</v>
      </c>
      <c r="F39">
        <v>7171769</v>
      </c>
      <c r="G39">
        <v>-0.73699999999999999</v>
      </c>
      <c r="H39">
        <v>-0.77200000000000002</v>
      </c>
    </row>
    <row r="40" spans="1:8" x14ac:dyDescent="0.3">
      <c r="A40" t="s">
        <v>83</v>
      </c>
      <c r="B40" t="s">
        <v>83</v>
      </c>
    </row>
    <row r="41" spans="1:8" x14ac:dyDescent="0.3">
      <c r="A41" t="s">
        <v>83</v>
      </c>
      <c r="B41" t="s">
        <v>83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E564-9F16-40D9-B735-7B5AA9EA5CC0}">
  <dimension ref="A1"/>
  <sheetViews>
    <sheetView zoomScale="70" zoomScaleNormal="70" workbookViewId="0">
      <selection activeCell="J221" sqref="J22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0315-A507-440A-9388-EC4A6C4932E8}">
  <dimension ref="A3:F213"/>
  <sheetViews>
    <sheetView topLeftCell="A129" zoomScale="85" zoomScaleNormal="85" workbookViewId="0">
      <selection activeCell="C97" sqref="C97"/>
    </sheetView>
  </sheetViews>
  <sheetFormatPr defaultRowHeight="14.4" x14ac:dyDescent="0.3"/>
  <cols>
    <col min="1" max="1" width="20.5546875" bestFit="1" customWidth="1"/>
    <col min="2" max="2" width="17.77734375" bestFit="1" customWidth="1"/>
    <col min="3" max="4" width="19.44140625" bestFit="1" customWidth="1"/>
    <col min="5" max="5" width="34" bestFit="1" customWidth="1"/>
    <col min="6" max="6" width="33.109375" bestFit="1" customWidth="1"/>
  </cols>
  <sheetData>
    <row r="3" spans="1:2" x14ac:dyDescent="0.3">
      <c r="A3" s="1" t="s">
        <v>90</v>
      </c>
      <c r="B3" t="s">
        <v>92</v>
      </c>
    </row>
    <row r="4" spans="1:2" x14ac:dyDescent="0.3">
      <c r="A4" s="2" t="s">
        <v>91</v>
      </c>
      <c r="B4" s="3">
        <v>2.4176249338997085E-4</v>
      </c>
    </row>
    <row r="5" spans="1:2" x14ac:dyDescent="0.3">
      <c r="A5" s="2" t="s">
        <v>107</v>
      </c>
      <c r="B5" s="3">
        <v>0.10375326422561813</v>
      </c>
    </row>
    <row r="6" spans="1:2" x14ac:dyDescent="0.3">
      <c r="A6" s="2" t="s">
        <v>111</v>
      </c>
      <c r="B6" s="3">
        <v>2.0442313207145375E-4</v>
      </c>
    </row>
    <row r="7" spans="1:2" x14ac:dyDescent="0.3">
      <c r="A7" s="2" t="s">
        <v>112</v>
      </c>
      <c r="B7" s="3">
        <v>2.2717494033396299E-3</v>
      </c>
    </row>
    <row r="8" spans="1:2" x14ac:dyDescent="0.3">
      <c r="A8" s="2" t="s">
        <v>109</v>
      </c>
      <c r="B8" s="3">
        <v>1.3810949746920863E-2</v>
      </c>
    </row>
    <row r="9" spans="1:2" x14ac:dyDescent="0.3">
      <c r="A9" s="2" t="s">
        <v>110</v>
      </c>
      <c r="B9" s="3">
        <v>6.8604828062191381E-4</v>
      </c>
    </row>
    <row r="10" spans="1:2" x14ac:dyDescent="0.3">
      <c r="A10" s="2" t="s">
        <v>113</v>
      </c>
      <c r="B10" s="3">
        <v>6.773937163500221E-3</v>
      </c>
    </row>
    <row r="11" spans="1:2" x14ac:dyDescent="0.3">
      <c r="A11" s="2" t="s">
        <v>114</v>
      </c>
      <c r="B11" s="3">
        <v>2.4410329336300686E-4</v>
      </c>
    </row>
    <row r="12" spans="1:2" x14ac:dyDescent="0.3">
      <c r="A12" s="2" t="s">
        <v>25</v>
      </c>
      <c r="B12" s="3">
        <v>4.0471704451834135E-4</v>
      </c>
    </row>
    <row r="13" spans="1:2" x14ac:dyDescent="0.3">
      <c r="A13" s="2" t="s">
        <v>27</v>
      </c>
      <c r="B13" s="3">
        <v>1.6734981206134751E-2</v>
      </c>
    </row>
    <row r="14" spans="1:2" x14ac:dyDescent="0.3">
      <c r="A14" s="2" t="s">
        <v>115</v>
      </c>
      <c r="B14" s="3">
        <v>3.9134062150302717E-3</v>
      </c>
    </row>
    <row r="15" spans="1:2" x14ac:dyDescent="0.3">
      <c r="A15" s="2" t="s">
        <v>116</v>
      </c>
      <c r="B15" s="3">
        <v>2.6637735492063681E-2</v>
      </c>
    </row>
    <row r="16" spans="1:2" x14ac:dyDescent="0.3">
      <c r="A16" s="2" t="s">
        <v>117</v>
      </c>
      <c r="B16" s="3">
        <v>2.2651524810112489E-3</v>
      </c>
    </row>
    <row r="17" spans="1:2" x14ac:dyDescent="0.3">
      <c r="A17" s="2" t="s">
        <v>118</v>
      </c>
      <c r="B17" s="3">
        <v>6.8754640606913759E-3</v>
      </c>
    </row>
    <row r="18" spans="1:2" x14ac:dyDescent="0.3">
      <c r="A18" s="2" t="s">
        <v>119</v>
      </c>
      <c r="B18" s="3">
        <v>6.3101595207551023E-3</v>
      </c>
    </row>
    <row r="19" spans="1:2" x14ac:dyDescent="0.3">
      <c r="A19" s="2" t="s">
        <v>37</v>
      </c>
      <c r="B19" s="3">
        <v>1.2903013556286598E-2</v>
      </c>
    </row>
    <row r="20" spans="1:2" x14ac:dyDescent="0.3">
      <c r="A20" s="2" t="s">
        <v>120</v>
      </c>
      <c r="B20" s="3">
        <v>0.1030578530817161</v>
      </c>
    </row>
    <row r="21" spans="1:2" x14ac:dyDescent="0.3">
      <c r="A21" s="2" t="s">
        <v>121</v>
      </c>
      <c r="B21" s="3">
        <v>8.382895147152224E-3</v>
      </c>
    </row>
    <row r="22" spans="1:2" x14ac:dyDescent="0.3">
      <c r="A22" s="2" t="s">
        <v>47</v>
      </c>
      <c r="B22" s="3">
        <v>9.6878958446880634E-5</v>
      </c>
    </row>
    <row r="23" spans="1:2" x14ac:dyDescent="0.3">
      <c r="A23" s="2" t="s">
        <v>122</v>
      </c>
      <c r="B23" s="3">
        <v>3.9316283700116255E-6</v>
      </c>
    </row>
    <row r="24" spans="1:2" x14ac:dyDescent="0.3">
      <c r="A24" s="2" t="s">
        <v>49</v>
      </c>
      <c r="B24" s="3">
        <v>3.7920874736955171E-2</v>
      </c>
    </row>
    <row r="25" spans="1:2" x14ac:dyDescent="0.3">
      <c r="A25" s="2" t="s">
        <v>51</v>
      </c>
      <c r="B25" s="3">
        <v>6.5747196353032292E-2</v>
      </c>
    </row>
    <row r="26" spans="1:2" x14ac:dyDescent="0.3">
      <c r="A26" s="2" t="s">
        <v>123</v>
      </c>
      <c r="B26" s="3">
        <v>7.8759133518993153E-5</v>
      </c>
    </row>
    <row r="27" spans="1:2" x14ac:dyDescent="0.3">
      <c r="A27" s="2" t="s">
        <v>124</v>
      </c>
      <c r="B27" s="3">
        <v>4.3708767583944909E-4</v>
      </c>
    </row>
    <row r="28" spans="1:2" x14ac:dyDescent="0.3">
      <c r="A28" s="2" t="s">
        <v>125</v>
      </c>
      <c r="B28" s="3">
        <v>6.6368445137132882E-5</v>
      </c>
    </row>
    <row r="29" spans="1:2" x14ac:dyDescent="0.3">
      <c r="A29" s="2" t="s">
        <v>126</v>
      </c>
      <c r="B29" s="3">
        <v>4.814326064761752E-5</v>
      </c>
    </row>
    <row r="30" spans="1:2" x14ac:dyDescent="0.3">
      <c r="A30" s="2" t="s">
        <v>127</v>
      </c>
      <c r="B30" s="3">
        <v>6.7508361539302588E-3</v>
      </c>
    </row>
    <row r="31" spans="1:2" x14ac:dyDescent="0.3">
      <c r="A31" s="2" t="s">
        <v>63</v>
      </c>
      <c r="B31" s="3">
        <v>1.0334625148713716E-3</v>
      </c>
    </row>
    <row r="32" spans="1:2" x14ac:dyDescent="0.3">
      <c r="A32" s="2" t="s">
        <v>128</v>
      </c>
      <c r="B32" s="3">
        <v>2.2060892235495295E-2</v>
      </c>
    </row>
    <row r="33" spans="1:3" x14ac:dyDescent="0.3">
      <c r="A33" s="2" t="s">
        <v>129</v>
      </c>
      <c r="B33" s="3">
        <v>2.3357402568101614E-2</v>
      </c>
    </row>
    <row r="34" spans="1:3" x14ac:dyDescent="0.3">
      <c r="A34" s="2" t="s">
        <v>130</v>
      </c>
      <c r="B34" s="3">
        <v>6.3671980905898712E-4</v>
      </c>
    </row>
    <row r="35" spans="1:3" x14ac:dyDescent="0.3">
      <c r="A35" s="2" t="s">
        <v>131</v>
      </c>
      <c r="B35" s="3">
        <v>0.21664724732299237</v>
      </c>
    </row>
    <row r="36" spans="1:3" x14ac:dyDescent="0.3">
      <c r="A36" s="2" t="s">
        <v>73</v>
      </c>
      <c r="B36" s="3">
        <v>4.153890424281962E-2</v>
      </c>
    </row>
    <row r="37" spans="1:3" x14ac:dyDescent="0.3">
      <c r="A37" s="2" t="s">
        <v>132</v>
      </c>
      <c r="B37" s="3">
        <v>2.5289593588467412E-4</v>
      </c>
    </row>
    <row r="38" spans="1:3" x14ac:dyDescent="0.3">
      <c r="A38" s="2" t="s">
        <v>77</v>
      </c>
      <c r="B38" s="3">
        <v>0.21126226963638872</v>
      </c>
    </row>
    <row r="39" spans="1:3" x14ac:dyDescent="0.3">
      <c r="A39" s="2" t="s">
        <v>133</v>
      </c>
      <c r="B39" s="3">
        <v>1.5075100556402666E-2</v>
      </c>
    </row>
    <row r="40" spans="1:3" x14ac:dyDescent="0.3">
      <c r="A40" s="2" t="s">
        <v>134</v>
      </c>
      <c r="B40" s="3">
        <v>4.1513413287921991E-2</v>
      </c>
    </row>
    <row r="41" spans="1:3" x14ac:dyDescent="0.3">
      <c r="A41" s="2" t="s">
        <v>82</v>
      </c>
      <c r="B41" s="3">
        <v>1</v>
      </c>
    </row>
    <row r="44" spans="1:3" x14ac:dyDescent="0.3">
      <c r="A44" s="1" t="s">
        <v>90</v>
      </c>
      <c r="B44" t="s">
        <v>93</v>
      </c>
      <c r="C44" t="s">
        <v>94</v>
      </c>
    </row>
    <row r="45" spans="1:3" x14ac:dyDescent="0.3">
      <c r="A45" s="2" t="s">
        <v>91</v>
      </c>
      <c r="B45" s="3">
        <v>2.3757086158298092E-4</v>
      </c>
      <c r="C45" s="3">
        <v>5.6033582825077007E-4</v>
      </c>
    </row>
    <row r="46" spans="1:3" x14ac:dyDescent="0.3">
      <c r="A46" s="2" t="s">
        <v>107</v>
      </c>
      <c r="B46" s="3">
        <v>0.10499973463600261</v>
      </c>
      <c r="C46" s="3">
        <v>9.0187422718276764E-3</v>
      </c>
    </row>
    <row r="47" spans="1:3" x14ac:dyDescent="0.3">
      <c r="A47" s="2" t="s">
        <v>111</v>
      </c>
      <c r="B47" s="3">
        <v>2.0411644528252009E-4</v>
      </c>
      <c r="C47" s="3">
        <v>2.2773200976090603E-4</v>
      </c>
    </row>
    <row r="48" spans="1:3" x14ac:dyDescent="0.3">
      <c r="A48" s="2" t="s">
        <v>112</v>
      </c>
      <c r="B48" s="3">
        <v>2.2899889851261861E-3</v>
      </c>
      <c r="C48" s="3">
        <v>8.8550064300726517E-4</v>
      </c>
    </row>
    <row r="49" spans="1:3" x14ac:dyDescent="0.3">
      <c r="A49" s="2" t="s">
        <v>109</v>
      </c>
      <c r="B49" s="3">
        <v>1.3514793652362222E-2</v>
      </c>
      <c r="C49" s="3">
        <v>3.6319471255313734E-2</v>
      </c>
    </row>
    <row r="50" spans="1:3" x14ac:dyDescent="0.3">
      <c r="A50" s="2" t="s">
        <v>110</v>
      </c>
      <c r="B50" s="3">
        <v>6.7585730765692075E-4</v>
      </c>
      <c r="C50" s="3">
        <v>1.4605848793565962E-3</v>
      </c>
    </row>
    <row r="51" spans="1:3" x14ac:dyDescent="0.3">
      <c r="A51" s="2" t="s">
        <v>113</v>
      </c>
      <c r="B51" s="3">
        <v>6.8599485351406014E-3</v>
      </c>
      <c r="C51" s="3">
        <v>2.3688172515421352E-4</v>
      </c>
    </row>
    <row r="52" spans="1:3" x14ac:dyDescent="0.3">
      <c r="A52" s="2" t="s">
        <v>114</v>
      </c>
      <c r="B52" s="3">
        <v>2.4667119946525319E-4</v>
      </c>
      <c r="C52" s="3">
        <v>4.8936721423695712E-5</v>
      </c>
    </row>
    <row r="53" spans="1:3" x14ac:dyDescent="0.3">
      <c r="A53" s="2" t="s">
        <v>25</v>
      </c>
      <c r="B53" s="3">
        <v>4.0762583759582853E-4</v>
      </c>
      <c r="C53" s="3">
        <v>1.8364230470703608E-4</v>
      </c>
    </row>
    <row r="54" spans="1:3" x14ac:dyDescent="0.3">
      <c r="A54" s="2" t="s">
        <v>27</v>
      </c>
      <c r="B54" s="3">
        <v>1.5705370551919121E-2</v>
      </c>
      <c r="C54" s="3">
        <v>9.4987679636064234E-2</v>
      </c>
    </row>
    <row r="55" spans="1:3" x14ac:dyDescent="0.3">
      <c r="A55" s="2" t="s">
        <v>115</v>
      </c>
      <c r="B55" s="3">
        <v>3.54205244513399E-3</v>
      </c>
      <c r="C55" s="3">
        <v>3.2137118205121329E-2</v>
      </c>
    </row>
    <row r="56" spans="1:3" x14ac:dyDescent="0.3">
      <c r="A56" s="2" t="s">
        <v>116</v>
      </c>
      <c r="B56" s="3">
        <v>2.6713460719556527E-2</v>
      </c>
      <c r="C56" s="3">
        <v>2.0882449873880375E-2</v>
      </c>
    </row>
    <row r="57" spans="1:3" x14ac:dyDescent="0.3">
      <c r="A57" s="2" t="s">
        <v>117</v>
      </c>
      <c r="B57" s="3">
        <v>2.2726112412800167E-3</v>
      </c>
      <c r="C57" s="3">
        <v>1.698270120593508E-3</v>
      </c>
    </row>
    <row r="58" spans="1:3" x14ac:dyDescent="0.3">
      <c r="A58" s="2" t="s">
        <v>118</v>
      </c>
      <c r="B58" s="3">
        <v>6.8208011215283148E-3</v>
      </c>
      <c r="C58" s="3">
        <v>1.1029968946695392E-2</v>
      </c>
    </row>
    <row r="59" spans="1:3" x14ac:dyDescent="0.3">
      <c r="A59" s="2" t="s">
        <v>119</v>
      </c>
      <c r="B59" s="3">
        <v>6.3716190977800066E-3</v>
      </c>
      <c r="C59" s="3">
        <v>1.6390950490838168E-3</v>
      </c>
    </row>
    <row r="60" spans="1:3" x14ac:dyDescent="0.3">
      <c r="A60" s="2" t="s">
        <v>37</v>
      </c>
      <c r="B60" s="3">
        <v>1.3012580095097372E-2</v>
      </c>
      <c r="C60" s="3">
        <v>4.5757130524837269E-3</v>
      </c>
    </row>
    <row r="61" spans="1:3" x14ac:dyDescent="0.3">
      <c r="A61" s="2" t="s">
        <v>120</v>
      </c>
      <c r="B61" s="3">
        <v>0.10414984513226153</v>
      </c>
      <c r="C61" s="3">
        <v>2.0064029863841606E-2</v>
      </c>
    </row>
    <row r="62" spans="1:3" x14ac:dyDescent="0.3">
      <c r="A62" s="2" t="s">
        <v>121</v>
      </c>
      <c r="B62" s="3">
        <v>7.9712210647434889E-3</v>
      </c>
      <c r="C62" s="3">
        <v>3.9671040515743279E-2</v>
      </c>
    </row>
    <row r="63" spans="1:3" x14ac:dyDescent="0.3">
      <c r="A63" s="2" t="s">
        <v>47</v>
      </c>
      <c r="B63" s="3">
        <v>8.4587715644739264E-5</v>
      </c>
      <c r="C63" s="3">
        <v>1.0310407334702162E-3</v>
      </c>
    </row>
    <row r="64" spans="1:3" x14ac:dyDescent="0.3">
      <c r="A64" s="2" t="s">
        <v>122</v>
      </c>
      <c r="B64" s="3">
        <v>3.56285526368229E-6</v>
      </c>
      <c r="C64" s="3">
        <v>3.1959204192487724E-5</v>
      </c>
    </row>
    <row r="65" spans="1:3" x14ac:dyDescent="0.3">
      <c r="A65" s="2" t="s">
        <v>49</v>
      </c>
      <c r="B65" s="3">
        <v>3.827392952842127E-2</v>
      </c>
      <c r="C65" s="3">
        <v>1.1087925784144217E-2</v>
      </c>
    </row>
    <row r="66" spans="1:3" x14ac:dyDescent="0.3">
      <c r="A66" s="2" t="s">
        <v>51</v>
      </c>
      <c r="B66" s="3">
        <v>6.4296217812406048E-2</v>
      </c>
      <c r="C66" s="3">
        <v>0.17602479080393987</v>
      </c>
    </row>
    <row r="67" spans="1:3" x14ac:dyDescent="0.3">
      <c r="A67" s="2" t="s">
        <v>123</v>
      </c>
      <c r="B67" s="3">
        <v>7.4083994072407413E-5</v>
      </c>
      <c r="C67" s="3">
        <v>4.3408012377258061E-4</v>
      </c>
    </row>
    <row r="68" spans="1:3" x14ac:dyDescent="0.3">
      <c r="A68" s="2" t="s">
        <v>124</v>
      </c>
      <c r="B68" s="3">
        <v>4.3324722434749495E-4</v>
      </c>
      <c r="C68" s="3">
        <v>7.2897052612289103E-4</v>
      </c>
    </row>
    <row r="69" spans="1:3" x14ac:dyDescent="0.3">
      <c r="A69" s="2" t="s">
        <v>125</v>
      </c>
      <c r="B69" s="3">
        <v>6.6384311552243239E-5</v>
      </c>
      <c r="C69" s="3">
        <v>6.5162562319476177E-5</v>
      </c>
    </row>
    <row r="70" spans="1:3" x14ac:dyDescent="0.3">
      <c r="A70" s="2" t="s">
        <v>126</v>
      </c>
      <c r="B70" s="3">
        <v>4.6698061218099802E-5</v>
      </c>
      <c r="C70" s="3">
        <v>1.5798162980795835E-4</v>
      </c>
    </row>
    <row r="71" spans="1:3" x14ac:dyDescent="0.3">
      <c r="A71" s="2" t="s">
        <v>127</v>
      </c>
      <c r="B71" s="3">
        <v>6.7969163155177864E-3</v>
      </c>
      <c r="C71" s="3">
        <v>3.2486414422232407E-3</v>
      </c>
    </row>
    <row r="72" spans="1:3" x14ac:dyDescent="0.3">
      <c r="A72" s="2" t="s">
        <v>63</v>
      </c>
      <c r="B72" s="3">
        <v>9.6452872864876197E-4</v>
      </c>
      <c r="C72" s="3">
        <v>6.272583499900921E-3</v>
      </c>
    </row>
    <row r="73" spans="1:3" x14ac:dyDescent="0.3">
      <c r="A73" s="2" t="s">
        <v>128</v>
      </c>
      <c r="B73" s="3">
        <v>2.1853082936579313E-2</v>
      </c>
      <c r="C73" s="3">
        <v>3.7854860889982189E-2</v>
      </c>
    </row>
    <row r="74" spans="1:3" x14ac:dyDescent="0.3">
      <c r="A74" s="2" t="s">
        <v>129</v>
      </c>
      <c r="B74" s="3">
        <v>2.2964905906346419E-2</v>
      </c>
      <c r="C74" s="3">
        <v>5.3188021337758372E-2</v>
      </c>
    </row>
    <row r="75" spans="1:3" x14ac:dyDescent="0.3">
      <c r="A75" s="2" t="s">
        <v>130</v>
      </c>
      <c r="B75" s="3">
        <v>5.9280802793584104E-4</v>
      </c>
      <c r="C75" s="3">
        <v>3.9741127854053485E-3</v>
      </c>
    </row>
    <row r="76" spans="1:3" x14ac:dyDescent="0.3">
      <c r="A76" s="2" t="s">
        <v>131</v>
      </c>
      <c r="B76" s="3">
        <v>0.21673717814264723</v>
      </c>
      <c r="C76" s="3">
        <v>0.20981230512305007</v>
      </c>
    </row>
    <row r="77" spans="1:3" x14ac:dyDescent="0.3">
      <c r="A77" s="2" t="s">
        <v>73</v>
      </c>
      <c r="B77" s="3">
        <v>4.1959260798010961E-2</v>
      </c>
      <c r="C77" s="3">
        <v>9.5908716425825678E-3</v>
      </c>
    </row>
    <row r="78" spans="1:3" x14ac:dyDescent="0.3">
      <c r="A78" s="2" t="s">
        <v>132</v>
      </c>
      <c r="B78" s="3">
        <v>1.9269361823152223E-4</v>
      </c>
      <c r="C78" s="3">
        <v>4.8284059005555538E-3</v>
      </c>
    </row>
    <row r="79" spans="1:3" x14ac:dyDescent="0.3">
      <c r="A79" s="2" t="s">
        <v>77</v>
      </c>
      <c r="B79" s="3">
        <v>0.21211980946094236</v>
      </c>
      <c r="C79" s="3">
        <v>0.14608733675501584</v>
      </c>
    </row>
    <row r="80" spans="1:3" x14ac:dyDescent="0.3">
      <c r="A80" s="2" t="s">
        <v>133</v>
      </c>
      <c r="B80" s="3">
        <v>1.5207421712283481E-2</v>
      </c>
      <c r="C80" s="3">
        <v>5.0183985743032702E-3</v>
      </c>
    </row>
    <row r="81" spans="1:6" x14ac:dyDescent="0.3">
      <c r="A81" s="2" t="s">
        <v>134</v>
      </c>
      <c r="B81" s="3">
        <v>4.1336813920414849E-2</v>
      </c>
      <c r="C81" s="3">
        <v>5.4935357779143754E-2</v>
      </c>
    </row>
    <row r="82" spans="1:6" x14ac:dyDescent="0.3">
      <c r="A82" s="2" t="s">
        <v>82</v>
      </c>
      <c r="B82" s="3">
        <v>1</v>
      </c>
      <c r="C82" s="3">
        <v>1</v>
      </c>
    </row>
    <row r="86" spans="1:6" x14ac:dyDescent="0.3">
      <c r="A86" s="1" t="s">
        <v>90</v>
      </c>
      <c r="B86" t="s">
        <v>102</v>
      </c>
      <c r="E86" t="s">
        <v>105</v>
      </c>
      <c r="F86" t="s">
        <v>106</v>
      </c>
    </row>
    <row r="87" spans="1:6" x14ac:dyDescent="0.3">
      <c r="A87" s="2" t="s">
        <v>108</v>
      </c>
      <c r="B87" s="5">
        <v>112654548</v>
      </c>
      <c r="C87" s="5">
        <f>GETPIVOTDATA("[Measures].[Min of Total_Vistor]",$A$86,"[Range].[Tourism Zone]","[Range].[Tourism Zone].&amp;[High Tourism]")</f>
        <v>112654548</v>
      </c>
      <c r="E87" s="7">
        <v>-73.498918918918918</v>
      </c>
      <c r="F87" s="7">
        <v>-76.765675675675681</v>
      </c>
    </row>
    <row r="88" spans="1:6" x14ac:dyDescent="0.3">
      <c r="A88" s="2" t="s">
        <v>135</v>
      </c>
      <c r="B88" s="5">
        <v>11680</v>
      </c>
      <c r="C88" s="5">
        <f>GETPIVOTDATA("[Measures].[Min of Total_Vistor]",$A$86,"[Range].[Tourism Zone]","[Range].[Tourism Zone].&amp;[Low Tourism]")</f>
        <v>11680</v>
      </c>
    </row>
    <row r="89" spans="1:6" x14ac:dyDescent="0.3">
      <c r="A89" s="2" t="s">
        <v>95</v>
      </c>
      <c r="B89" s="5">
        <v>287806</v>
      </c>
      <c r="C89" s="5">
        <f>GETPIVOTDATA("[Measures].[Min of Total_Vistor]",$A$86,"[Range].[Tourism Zone]","[Range].[Tourism Zone].&amp;[Medium Tourism]")</f>
        <v>287806</v>
      </c>
      <c r="E89">
        <f>(GETPIVOTDATA("[Measures].[Average of Growth rate - DTV  2020/19]",$E$86)+GETPIVOTDATA("[Measures].[Average of Growth rate - FTV 2020/19]",$E$86))/2</f>
        <v>-75.132297297297299</v>
      </c>
    </row>
    <row r="90" spans="1:6" x14ac:dyDescent="0.3">
      <c r="A90" s="2" t="s">
        <v>82</v>
      </c>
      <c r="B90" s="5">
        <v>11680</v>
      </c>
    </row>
    <row r="92" spans="1:6" x14ac:dyDescent="0.3">
      <c r="A92" s="1" t="s">
        <v>90</v>
      </c>
      <c r="B92" t="s">
        <v>96</v>
      </c>
      <c r="C92" t="s">
        <v>97</v>
      </c>
    </row>
    <row r="93" spans="1:6" x14ac:dyDescent="0.3">
      <c r="A93" s="2" t="s">
        <v>91</v>
      </c>
      <c r="B93" s="7">
        <v>-62.17</v>
      </c>
      <c r="C93" s="7">
        <v>-66.599999999999994</v>
      </c>
    </row>
    <row r="94" spans="1:6" x14ac:dyDescent="0.3">
      <c r="A94" s="2" t="s">
        <v>107</v>
      </c>
      <c r="B94" s="7">
        <v>-70.12</v>
      </c>
      <c r="C94" s="7">
        <v>-75.89</v>
      </c>
    </row>
    <row r="95" spans="1:6" x14ac:dyDescent="0.3">
      <c r="A95" s="2" t="s">
        <v>111</v>
      </c>
      <c r="B95" s="7">
        <v>-92.28</v>
      </c>
      <c r="C95" s="7">
        <v>-87.72</v>
      </c>
    </row>
    <row r="96" spans="1:6" x14ac:dyDescent="0.3">
      <c r="A96" s="2" t="s">
        <v>112</v>
      </c>
      <c r="B96" s="7">
        <v>-76.739999999999995</v>
      </c>
      <c r="C96" s="7">
        <v>-72.900000000000006</v>
      </c>
    </row>
    <row r="97" spans="1:3" x14ac:dyDescent="0.3">
      <c r="A97" s="2" t="s">
        <v>109</v>
      </c>
      <c r="B97" s="7">
        <v>-83.41</v>
      </c>
      <c r="C97" s="7">
        <v>-71.819999999999993</v>
      </c>
    </row>
    <row r="98" spans="1:3" x14ac:dyDescent="0.3">
      <c r="A98" s="2" t="s">
        <v>110</v>
      </c>
      <c r="B98" s="7">
        <v>-73.27</v>
      </c>
      <c r="C98" s="7">
        <v>-72.31</v>
      </c>
    </row>
    <row r="99" spans="1:3" x14ac:dyDescent="0.3">
      <c r="A99" s="2" t="s">
        <v>113</v>
      </c>
      <c r="B99" s="7">
        <v>-83.76</v>
      </c>
      <c r="C99" s="7">
        <v>-65.94</v>
      </c>
    </row>
    <row r="100" spans="1:3" x14ac:dyDescent="0.3">
      <c r="A100" s="2" t="s">
        <v>114</v>
      </c>
      <c r="B100" s="7">
        <v>-83.03</v>
      </c>
      <c r="C100" s="7">
        <v>-86.67</v>
      </c>
    </row>
    <row r="101" spans="1:3" x14ac:dyDescent="0.3">
      <c r="A101" s="2" t="s">
        <v>25</v>
      </c>
      <c r="B101" s="7">
        <v>-66.87</v>
      </c>
      <c r="C101" s="7">
        <v>-75.77</v>
      </c>
    </row>
    <row r="102" spans="1:3" x14ac:dyDescent="0.3">
      <c r="A102" s="2" t="s">
        <v>27</v>
      </c>
      <c r="B102" s="7">
        <v>-73.7</v>
      </c>
      <c r="C102" s="7">
        <v>-77.2</v>
      </c>
    </row>
    <row r="103" spans="1:3" x14ac:dyDescent="0.3">
      <c r="A103" s="2" t="s">
        <v>115</v>
      </c>
      <c r="B103" s="7">
        <v>-54.28</v>
      </c>
      <c r="C103" s="7">
        <v>-67.69</v>
      </c>
    </row>
    <row r="104" spans="1:3" x14ac:dyDescent="0.3">
      <c r="A104" s="2" t="s">
        <v>116</v>
      </c>
      <c r="B104" s="7">
        <v>-66.930000000000007</v>
      </c>
      <c r="C104" s="7">
        <v>-64.73</v>
      </c>
    </row>
    <row r="105" spans="1:3" x14ac:dyDescent="0.3">
      <c r="A105" s="2" t="s">
        <v>117</v>
      </c>
      <c r="B105" s="7">
        <v>-53.51</v>
      </c>
      <c r="C105" s="7">
        <v>-63.63</v>
      </c>
    </row>
    <row r="106" spans="1:3" x14ac:dyDescent="0.3">
      <c r="A106" s="2" t="s">
        <v>118</v>
      </c>
      <c r="B106" s="7">
        <v>-81.16</v>
      </c>
      <c r="C106" s="7">
        <v>-88.86</v>
      </c>
    </row>
    <row r="107" spans="1:3" x14ac:dyDescent="0.3">
      <c r="A107" s="2" t="s">
        <v>119</v>
      </c>
      <c r="B107" s="7">
        <v>-84.41</v>
      </c>
      <c r="C107" s="7">
        <v>-90.82</v>
      </c>
    </row>
    <row r="108" spans="1:3" x14ac:dyDescent="0.3">
      <c r="A108" s="2" t="s">
        <v>37</v>
      </c>
      <c r="B108" s="7">
        <v>-92.76</v>
      </c>
      <c r="C108" s="7">
        <v>-99.72</v>
      </c>
    </row>
    <row r="109" spans="1:3" x14ac:dyDescent="0.3">
      <c r="A109" s="2" t="s">
        <v>120</v>
      </c>
      <c r="B109" s="7">
        <v>-66.02</v>
      </c>
      <c r="C109" s="7">
        <v>-72.84</v>
      </c>
    </row>
    <row r="110" spans="1:3" x14ac:dyDescent="0.3">
      <c r="A110" s="2" t="s">
        <v>121</v>
      </c>
      <c r="B110" s="7">
        <v>-72.86</v>
      </c>
      <c r="C110" s="7">
        <v>-71.36</v>
      </c>
    </row>
    <row r="111" spans="1:3" x14ac:dyDescent="0.3">
      <c r="A111" s="2" t="s">
        <v>47</v>
      </c>
      <c r="B111" s="7">
        <v>-97.21</v>
      </c>
      <c r="C111" s="7">
        <v>-97.09</v>
      </c>
    </row>
    <row r="112" spans="1:3" x14ac:dyDescent="0.3">
      <c r="A112" s="2" t="s">
        <v>122</v>
      </c>
      <c r="B112" s="7">
        <v>-50.44</v>
      </c>
      <c r="C112" s="7">
        <v>-49.63</v>
      </c>
    </row>
    <row r="113" spans="1:3" x14ac:dyDescent="0.3">
      <c r="A113" s="2" t="s">
        <v>49</v>
      </c>
      <c r="B113" s="7">
        <v>-73.489999999999995</v>
      </c>
      <c r="C113" s="7">
        <v>-69.56</v>
      </c>
    </row>
    <row r="114" spans="1:3" x14ac:dyDescent="0.3">
      <c r="A114" s="2" t="s">
        <v>51</v>
      </c>
      <c r="B114" s="7">
        <v>-73.72</v>
      </c>
      <c r="C114" s="7">
        <v>-77.2</v>
      </c>
    </row>
    <row r="115" spans="1:3" x14ac:dyDescent="0.3">
      <c r="A115" s="2" t="s">
        <v>123</v>
      </c>
      <c r="B115" s="7">
        <v>-70.36</v>
      </c>
      <c r="C115" s="7">
        <v>-76.930000000000007</v>
      </c>
    </row>
    <row r="116" spans="1:3" x14ac:dyDescent="0.3">
      <c r="A116" s="2" t="s">
        <v>124</v>
      </c>
      <c r="B116" s="7">
        <v>-98.01</v>
      </c>
      <c r="C116" s="7">
        <v>-91.05</v>
      </c>
    </row>
    <row r="117" spans="1:3" x14ac:dyDescent="0.3">
      <c r="A117" s="2" t="s">
        <v>125</v>
      </c>
      <c r="B117" s="7">
        <v>-81.14</v>
      </c>
      <c r="C117" s="7">
        <v>-88.22</v>
      </c>
    </row>
    <row r="118" spans="1:3" x14ac:dyDescent="0.3">
      <c r="A118" s="2" t="s">
        <v>126</v>
      </c>
      <c r="B118" s="7">
        <v>-91.28</v>
      </c>
      <c r="C118" s="7">
        <v>-90.71</v>
      </c>
    </row>
    <row r="119" spans="1:3" x14ac:dyDescent="0.3">
      <c r="A119" s="2" t="s">
        <v>127</v>
      </c>
      <c r="B119" s="7">
        <v>-69.8</v>
      </c>
      <c r="C119" s="7">
        <v>-91.14</v>
      </c>
    </row>
    <row r="120" spans="1:3" x14ac:dyDescent="0.3">
      <c r="A120" s="2" t="s">
        <v>63</v>
      </c>
      <c r="B120" s="7">
        <v>-34.92</v>
      </c>
      <c r="C120" s="7">
        <v>-38.58</v>
      </c>
    </row>
    <row r="121" spans="1:3" x14ac:dyDescent="0.3">
      <c r="A121" s="2" t="s">
        <v>128</v>
      </c>
      <c r="B121" s="7">
        <v>-64.77</v>
      </c>
      <c r="C121" s="7">
        <v>-67.39</v>
      </c>
    </row>
    <row r="122" spans="1:3" x14ac:dyDescent="0.3">
      <c r="A122" s="2" t="s">
        <v>129</v>
      </c>
      <c r="B122" s="7">
        <v>-71.05</v>
      </c>
      <c r="C122" s="7">
        <v>-72.19</v>
      </c>
    </row>
    <row r="123" spans="1:3" x14ac:dyDescent="0.3">
      <c r="A123" s="2" t="s">
        <v>130</v>
      </c>
      <c r="B123" s="7">
        <v>-77.75</v>
      </c>
      <c r="C123" s="7">
        <v>-85.05</v>
      </c>
    </row>
    <row r="124" spans="1:3" x14ac:dyDescent="0.3">
      <c r="A124" s="2" t="s">
        <v>131</v>
      </c>
      <c r="B124" s="7">
        <v>-71.58</v>
      </c>
      <c r="C124" s="7">
        <v>-82.11</v>
      </c>
    </row>
    <row r="125" spans="1:3" x14ac:dyDescent="0.3">
      <c r="A125" s="2" t="s">
        <v>73</v>
      </c>
      <c r="B125" s="7">
        <v>-51.83</v>
      </c>
      <c r="C125" s="7">
        <v>-85.56</v>
      </c>
    </row>
    <row r="126" spans="1:3" x14ac:dyDescent="0.3">
      <c r="A126" s="2" t="s">
        <v>132</v>
      </c>
      <c r="B126" s="7">
        <v>-70.77</v>
      </c>
      <c r="C126" s="7">
        <v>-79.349999999999994</v>
      </c>
    </row>
    <row r="127" spans="1:3" x14ac:dyDescent="0.3">
      <c r="A127" s="2" t="s">
        <v>77</v>
      </c>
      <c r="B127" s="7">
        <v>-83.93</v>
      </c>
      <c r="C127" s="7">
        <v>-81.22</v>
      </c>
    </row>
    <row r="128" spans="1:3" x14ac:dyDescent="0.3">
      <c r="A128" s="2" t="s">
        <v>133</v>
      </c>
      <c r="B128" s="7">
        <v>-81.36</v>
      </c>
      <c r="C128" s="7">
        <v>-72.849999999999994</v>
      </c>
    </row>
    <row r="129" spans="1:5" x14ac:dyDescent="0.3">
      <c r="A129" s="2" t="s">
        <v>134</v>
      </c>
      <c r="B129" s="7">
        <v>-68.77</v>
      </c>
      <c r="C129" s="7">
        <v>-72.03</v>
      </c>
    </row>
    <row r="130" spans="1:5" x14ac:dyDescent="0.3">
      <c r="A130" s="2" t="s">
        <v>82</v>
      </c>
      <c r="B130" s="7">
        <v>-2719.46</v>
      </c>
      <c r="C130" s="7">
        <v>-2840.33</v>
      </c>
    </row>
    <row r="134" spans="1:5" x14ac:dyDescent="0.3">
      <c r="A134" s="1" t="s">
        <v>90</v>
      </c>
      <c r="B134" t="s">
        <v>98</v>
      </c>
      <c r="C134" t="s">
        <v>99</v>
      </c>
      <c r="D134" t="s">
        <v>100</v>
      </c>
      <c r="E134" t="s">
        <v>101</v>
      </c>
    </row>
    <row r="135" spans="1:5" x14ac:dyDescent="0.3">
      <c r="A135" s="2" t="s">
        <v>91</v>
      </c>
      <c r="B135" s="5">
        <v>505398</v>
      </c>
      <c r="C135" s="5">
        <v>16206</v>
      </c>
      <c r="D135" s="5">
        <v>5412</v>
      </c>
      <c r="E135" s="5">
        <v>191207</v>
      </c>
    </row>
    <row r="136" spans="1:5" x14ac:dyDescent="0.3">
      <c r="A136" s="2" t="s">
        <v>107</v>
      </c>
      <c r="B136" s="5">
        <v>237051508</v>
      </c>
      <c r="C136" s="5">
        <v>280356</v>
      </c>
      <c r="D136" s="5">
        <v>67591</v>
      </c>
      <c r="E136" s="5">
        <v>70828590</v>
      </c>
    </row>
    <row r="137" spans="1:5" x14ac:dyDescent="0.3">
      <c r="A137" s="2" t="s">
        <v>111</v>
      </c>
      <c r="B137" s="5">
        <v>555639</v>
      </c>
      <c r="C137" s="5">
        <v>7825</v>
      </c>
      <c r="D137" s="5">
        <v>961</v>
      </c>
      <c r="E137" s="5">
        <v>42871</v>
      </c>
    </row>
    <row r="138" spans="1:5" x14ac:dyDescent="0.3">
      <c r="A138" s="2" t="s">
        <v>112</v>
      </c>
      <c r="B138" s="5">
        <v>5447805</v>
      </c>
      <c r="C138" s="5">
        <v>26878</v>
      </c>
      <c r="D138" s="5">
        <v>7285</v>
      </c>
      <c r="E138" s="5">
        <v>1266898</v>
      </c>
    </row>
    <row r="139" spans="1:5" x14ac:dyDescent="0.3">
      <c r="A139" s="2" t="s">
        <v>109</v>
      </c>
      <c r="B139" s="5">
        <v>33990038</v>
      </c>
      <c r="C139" s="5">
        <v>1093141</v>
      </c>
      <c r="D139" s="5">
        <v>308080</v>
      </c>
      <c r="E139" s="5">
        <v>5638024</v>
      </c>
    </row>
    <row r="140" spans="1:5" x14ac:dyDescent="0.3">
      <c r="A140" s="2" t="s">
        <v>110</v>
      </c>
      <c r="B140" s="5">
        <v>1563795</v>
      </c>
      <c r="C140" s="5">
        <v>44132</v>
      </c>
      <c r="D140" s="5">
        <v>12218</v>
      </c>
      <c r="E140" s="5">
        <v>417953</v>
      </c>
    </row>
    <row r="141" spans="1:5" x14ac:dyDescent="0.3">
      <c r="A141" s="2" t="s">
        <v>113</v>
      </c>
      <c r="B141" s="5">
        <v>17304506</v>
      </c>
      <c r="C141" s="5">
        <v>6817</v>
      </c>
      <c r="D141" s="5">
        <v>2322</v>
      </c>
      <c r="E141" s="5">
        <v>2810227</v>
      </c>
    </row>
    <row r="142" spans="1:5" x14ac:dyDescent="0.3">
      <c r="A142" s="2" t="s">
        <v>114</v>
      </c>
      <c r="B142" s="5">
        <v>618330</v>
      </c>
      <c r="C142" s="5">
        <v>1666</v>
      </c>
      <c r="D142" s="5">
        <v>222</v>
      </c>
      <c r="E142" s="5">
        <v>104959</v>
      </c>
    </row>
    <row r="143" spans="1:5" x14ac:dyDescent="0.3">
      <c r="A143" s="2" t="s">
        <v>25</v>
      </c>
      <c r="B143" s="5">
        <v>897804</v>
      </c>
      <c r="C143" s="5">
        <v>5703</v>
      </c>
      <c r="D143" s="5">
        <v>1382</v>
      </c>
      <c r="E143" s="5">
        <v>297436</v>
      </c>
    </row>
    <row r="144" spans="1:5" x14ac:dyDescent="0.3">
      <c r="A144" s="2" t="s">
        <v>27</v>
      </c>
      <c r="B144" s="5">
        <v>36467598</v>
      </c>
      <c r="C144" s="5">
        <v>2983436</v>
      </c>
      <c r="D144" s="5">
        <v>681230</v>
      </c>
      <c r="E144" s="5">
        <v>9583671</v>
      </c>
    </row>
    <row r="145" spans="1:5" x14ac:dyDescent="0.3">
      <c r="A145" s="2" t="s">
        <v>115</v>
      </c>
      <c r="B145" s="5">
        <v>7127287</v>
      </c>
      <c r="C145" s="5">
        <v>937113</v>
      </c>
      <c r="D145" s="5">
        <v>302751</v>
      </c>
      <c r="E145" s="5">
        <v>3258715</v>
      </c>
    </row>
    <row r="146" spans="1:5" x14ac:dyDescent="0.3">
      <c r="A146" s="2" t="s">
        <v>116</v>
      </c>
      <c r="B146" s="5">
        <v>58864661</v>
      </c>
      <c r="C146" s="5">
        <v>595607</v>
      </c>
      <c r="D146" s="5">
        <v>210047</v>
      </c>
      <c r="E146" s="5">
        <v>19464517</v>
      </c>
    </row>
    <row r="147" spans="1:5" x14ac:dyDescent="0.3">
      <c r="A147" s="2" t="s">
        <v>117</v>
      </c>
      <c r="B147" s="5">
        <v>4549017</v>
      </c>
      <c r="C147" s="5">
        <v>48046</v>
      </c>
      <c r="D147" s="5">
        <v>17474</v>
      </c>
      <c r="E147" s="5">
        <v>2114731</v>
      </c>
    </row>
    <row r="148" spans="1:5" x14ac:dyDescent="0.3">
      <c r="A148" s="2" t="s">
        <v>118</v>
      </c>
      <c r="B148" s="5">
        <v>16829231</v>
      </c>
      <c r="C148" s="5">
        <v>382876</v>
      </c>
      <c r="D148" s="5">
        <v>42665</v>
      </c>
      <c r="E148" s="5">
        <v>3170714</v>
      </c>
    </row>
    <row r="149" spans="1:5" x14ac:dyDescent="0.3">
      <c r="A149" s="2" t="s">
        <v>119</v>
      </c>
      <c r="B149" s="5">
        <v>16163330</v>
      </c>
      <c r="C149" s="5">
        <v>57920</v>
      </c>
      <c r="D149" s="5">
        <v>5317</v>
      </c>
      <c r="E149" s="5">
        <v>2519524</v>
      </c>
    </row>
    <row r="150" spans="1:5" x14ac:dyDescent="0.3">
      <c r="A150" s="2" t="s">
        <v>37</v>
      </c>
      <c r="B150" s="5">
        <v>35580768</v>
      </c>
      <c r="C150" s="5">
        <v>176043</v>
      </c>
      <c r="D150" s="5">
        <v>490</v>
      </c>
      <c r="E150" s="5">
        <v>2574704</v>
      </c>
    </row>
    <row r="151" spans="1:5" x14ac:dyDescent="0.3">
      <c r="A151" s="2" t="s">
        <v>120</v>
      </c>
      <c r="B151" s="5">
        <v>227934714</v>
      </c>
      <c r="C151" s="5">
        <v>608754</v>
      </c>
      <c r="D151" s="5">
        <v>165325</v>
      </c>
      <c r="E151" s="5">
        <v>77453339</v>
      </c>
    </row>
    <row r="152" spans="1:5" x14ac:dyDescent="0.3">
      <c r="A152" s="2" t="s">
        <v>121</v>
      </c>
      <c r="B152" s="5">
        <v>18384233</v>
      </c>
      <c r="C152" s="5">
        <v>1189771</v>
      </c>
      <c r="D152" s="5">
        <v>340755</v>
      </c>
      <c r="E152" s="5">
        <v>4988972</v>
      </c>
    </row>
    <row r="153" spans="1:5" x14ac:dyDescent="0.3">
      <c r="A153" s="2" t="s">
        <v>47</v>
      </c>
      <c r="B153" s="5">
        <v>241285</v>
      </c>
      <c r="C153" s="5">
        <v>38652</v>
      </c>
      <c r="D153" s="5">
        <v>1126</v>
      </c>
      <c r="E153" s="5">
        <v>6743</v>
      </c>
    </row>
    <row r="154" spans="1:5" x14ac:dyDescent="0.3">
      <c r="A154" s="2" t="s">
        <v>122</v>
      </c>
      <c r="B154" s="5">
        <v>6985</v>
      </c>
      <c r="C154" s="5">
        <v>820</v>
      </c>
      <c r="D154" s="5">
        <v>413</v>
      </c>
      <c r="E154" s="5">
        <v>3462</v>
      </c>
    </row>
    <row r="155" spans="1:5" x14ac:dyDescent="0.3">
      <c r="A155" s="2" t="s">
        <v>49</v>
      </c>
      <c r="B155" s="5">
        <v>88707139</v>
      </c>
      <c r="C155" s="5">
        <v>327958</v>
      </c>
      <c r="D155" s="5">
        <v>99819</v>
      </c>
      <c r="E155" s="5">
        <v>23519632</v>
      </c>
    </row>
    <row r="156" spans="1:5" x14ac:dyDescent="0.3">
      <c r="A156" s="2" t="s">
        <v>51</v>
      </c>
      <c r="B156" s="5">
        <v>149294703</v>
      </c>
      <c r="C156" s="5">
        <v>5528704</v>
      </c>
      <c r="D156" s="5">
        <v>1262409</v>
      </c>
      <c r="E156" s="5">
        <v>39234591</v>
      </c>
    </row>
    <row r="157" spans="1:5" x14ac:dyDescent="0.3">
      <c r="A157" s="2" t="s">
        <v>123</v>
      </c>
      <c r="B157" s="5">
        <v>167560</v>
      </c>
      <c r="C157" s="5">
        <v>13608</v>
      </c>
      <c r="D157" s="5">
        <v>3139</v>
      </c>
      <c r="E157" s="5">
        <v>49669</v>
      </c>
    </row>
    <row r="158" spans="1:5" x14ac:dyDescent="0.3">
      <c r="A158" s="2" t="s">
        <v>124</v>
      </c>
      <c r="B158" s="5">
        <v>1245633</v>
      </c>
      <c r="C158" s="5">
        <v>25813</v>
      </c>
      <c r="D158" s="5">
        <v>2311</v>
      </c>
      <c r="E158" s="5">
        <v>24734</v>
      </c>
    </row>
    <row r="159" spans="1:5" x14ac:dyDescent="0.3">
      <c r="A159" s="2" t="s">
        <v>125</v>
      </c>
      <c r="B159" s="5">
        <v>163762</v>
      </c>
      <c r="C159" s="5">
        <v>2249</v>
      </c>
      <c r="D159" s="5">
        <v>265</v>
      </c>
      <c r="E159" s="5">
        <v>30890</v>
      </c>
    </row>
    <row r="160" spans="1:5" x14ac:dyDescent="0.3">
      <c r="A160" s="2" t="s">
        <v>126</v>
      </c>
      <c r="B160" s="5">
        <v>125949</v>
      </c>
      <c r="C160" s="5">
        <v>5577</v>
      </c>
      <c r="D160" s="5">
        <v>518</v>
      </c>
      <c r="E160" s="5">
        <v>10979</v>
      </c>
    </row>
    <row r="161" spans="1:5" x14ac:dyDescent="0.3">
      <c r="A161" s="2" t="s">
        <v>127</v>
      </c>
      <c r="B161" s="5">
        <v>15307637</v>
      </c>
      <c r="C161" s="5">
        <v>115128</v>
      </c>
      <c r="D161" s="5">
        <v>10206</v>
      </c>
      <c r="E161" s="5">
        <v>4622273</v>
      </c>
    </row>
    <row r="162" spans="1:5" x14ac:dyDescent="0.3">
      <c r="A162" s="2" t="s">
        <v>63</v>
      </c>
      <c r="B162" s="5">
        <v>1713248</v>
      </c>
      <c r="C162" s="5">
        <v>149919</v>
      </c>
      <c r="D162" s="5">
        <v>92080</v>
      </c>
      <c r="E162" s="5">
        <v>1114942</v>
      </c>
    </row>
    <row r="163" spans="1:5" x14ac:dyDescent="0.3">
      <c r="A163" s="2" t="s">
        <v>128</v>
      </c>
      <c r="B163" s="5">
        <v>47385387</v>
      </c>
      <c r="C163" s="5">
        <v>1101343</v>
      </c>
      <c r="D163" s="5">
        <v>359114</v>
      </c>
      <c r="E163" s="5">
        <v>16692197</v>
      </c>
    </row>
    <row r="164" spans="1:5" x14ac:dyDescent="0.3">
      <c r="A164" s="2" t="s">
        <v>129</v>
      </c>
      <c r="B164" s="5">
        <v>52220431</v>
      </c>
      <c r="C164" s="5">
        <v>1605560</v>
      </c>
      <c r="D164" s="5">
        <v>446457</v>
      </c>
      <c r="E164" s="5">
        <v>15117239</v>
      </c>
    </row>
    <row r="165" spans="1:5" x14ac:dyDescent="0.3">
      <c r="A165" s="2" t="s">
        <v>130</v>
      </c>
      <c r="B165" s="5">
        <v>1421823</v>
      </c>
      <c r="C165" s="5">
        <v>133388</v>
      </c>
      <c r="D165" s="5">
        <v>19935</v>
      </c>
      <c r="E165" s="5">
        <v>316408</v>
      </c>
    </row>
    <row r="166" spans="1:5" x14ac:dyDescent="0.3">
      <c r="A166" s="2" t="s">
        <v>131</v>
      </c>
      <c r="B166" s="5">
        <v>494865257</v>
      </c>
      <c r="C166" s="5">
        <v>6866327</v>
      </c>
      <c r="D166" s="5">
        <v>1228323</v>
      </c>
      <c r="E166" s="5">
        <v>140651241</v>
      </c>
    </row>
    <row r="167" spans="1:5" x14ac:dyDescent="0.3">
      <c r="A167" s="2" t="s">
        <v>73</v>
      </c>
      <c r="B167" s="5">
        <v>83035894</v>
      </c>
      <c r="C167" s="5">
        <v>323326</v>
      </c>
      <c r="D167" s="5">
        <v>46694</v>
      </c>
      <c r="E167" s="5">
        <v>39997001</v>
      </c>
    </row>
    <row r="168" spans="1:5" x14ac:dyDescent="0.3">
      <c r="A168" s="2" t="s">
        <v>132</v>
      </c>
      <c r="B168" s="5">
        <v>437201</v>
      </c>
      <c r="C168" s="5">
        <v>154405</v>
      </c>
      <c r="D168" s="5">
        <v>31877</v>
      </c>
      <c r="E168" s="5">
        <v>127815</v>
      </c>
    </row>
    <row r="169" spans="1:5" x14ac:dyDescent="0.3">
      <c r="A169" s="2" t="s">
        <v>77</v>
      </c>
      <c r="B169" s="5">
        <v>535855162</v>
      </c>
      <c r="C169" s="5">
        <v>4745181</v>
      </c>
      <c r="D169" s="5">
        <v>890932</v>
      </c>
      <c r="E169" s="5">
        <v>86122293</v>
      </c>
    </row>
    <row r="170" spans="1:5" x14ac:dyDescent="0.3">
      <c r="A170" s="2" t="s">
        <v>133</v>
      </c>
      <c r="B170" s="5">
        <v>37585920</v>
      </c>
      <c r="C170" s="5">
        <v>152273</v>
      </c>
      <c r="D170" s="5">
        <v>41339</v>
      </c>
      <c r="E170" s="5">
        <v>7005264</v>
      </c>
    </row>
    <row r="171" spans="1:5" x14ac:dyDescent="0.3">
      <c r="A171" s="2" t="s">
        <v>134</v>
      </c>
      <c r="B171" s="5">
        <v>92366025</v>
      </c>
      <c r="C171" s="5">
        <v>1656145</v>
      </c>
      <c r="D171" s="5">
        <v>463285</v>
      </c>
      <c r="E171" s="5">
        <v>28841732</v>
      </c>
    </row>
    <row r="172" spans="1:5" x14ac:dyDescent="0.3">
      <c r="A172" s="2" t="s">
        <v>82</v>
      </c>
      <c r="B172" s="5">
        <v>2321982663</v>
      </c>
      <c r="C172" s="5">
        <v>31408666</v>
      </c>
      <c r="D172" s="5">
        <v>7171769</v>
      </c>
      <c r="E172" s="5">
        <v>610216157</v>
      </c>
    </row>
    <row r="173" spans="1:5" x14ac:dyDescent="0.3">
      <c r="B173" t="s">
        <v>104</v>
      </c>
      <c r="C173" s="5">
        <f>GETPIVOTDATA("[Measures].[Sum of Domestic -2020]",$A$134)+GETPIVOTDATA("[Measures].[Sum of Domestic -2019]",$A$134)</f>
        <v>2932198820</v>
      </c>
      <c r="D173" t="s">
        <v>103</v>
      </c>
      <c r="E173" s="5">
        <f>GETPIVOTDATA("[Measures].[Sum of Foreign - 2019]",$A$134)+GETPIVOTDATA("[Measures].[Sum of Foreign - 2020]",$A$134)</f>
        <v>38580435</v>
      </c>
    </row>
    <row r="174" spans="1:5" x14ac:dyDescent="0.3">
      <c r="B174" s="6">
        <f>C173+E173</f>
        <v>2970779255</v>
      </c>
    </row>
    <row r="175" spans="1:5" x14ac:dyDescent="0.3">
      <c r="A175" s="1" t="s">
        <v>90</v>
      </c>
      <c r="B175" t="s">
        <v>92</v>
      </c>
    </row>
    <row r="176" spans="1:5" x14ac:dyDescent="0.3">
      <c r="A176" s="2" t="s">
        <v>131</v>
      </c>
      <c r="B176" s="4">
        <v>643611148</v>
      </c>
    </row>
    <row r="177" spans="1:2" x14ac:dyDescent="0.3">
      <c r="A177" s="2" t="s">
        <v>77</v>
      </c>
      <c r="B177" s="4">
        <v>627613568</v>
      </c>
    </row>
    <row r="178" spans="1:2" x14ac:dyDescent="0.3">
      <c r="A178" s="2" t="s">
        <v>107</v>
      </c>
      <c r="B178" s="4">
        <v>308228045</v>
      </c>
    </row>
    <row r="179" spans="1:2" x14ac:dyDescent="0.3">
      <c r="A179" s="2" t="s">
        <v>120</v>
      </c>
      <c r="B179" s="4">
        <v>306162132</v>
      </c>
    </row>
    <row r="180" spans="1:2" x14ac:dyDescent="0.3">
      <c r="A180" s="2" t="s">
        <v>51</v>
      </c>
      <c r="B180" s="4">
        <v>195320407</v>
      </c>
    </row>
    <row r="181" spans="1:2" x14ac:dyDescent="0.3">
      <c r="A181" s="2" t="s">
        <v>73</v>
      </c>
      <c r="B181" s="4">
        <v>123402915</v>
      </c>
    </row>
    <row r="182" spans="1:2" x14ac:dyDescent="0.3">
      <c r="A182" s="2" t="s">
        <v>134</v>
      </c>
      <c r="B182" s="4">
        <v>123327187</v>
      </c>
    </row>
    <row r="183" spans="1:2" x14ac:dyDescent="0.3">
      <c r="A183" s="2" t="s">
        <v>49</v>
      </c>
      <c r="B183" s="4">
        <v>112654548</v>
      </c>
    </row>
    <row r="184" spans="1:2" x14ac:dyDescent="0.3">
      <c r="A184" s="2" t="s">
        <v>116</v>
      </c>
      <c r="B184" s="4">
        <v>79134832</v>
      </c>
    </row>
    <row r="185" spans="1:2" x14ac:dyDescent="0.3">
      <c r="A185" s="2" t="s">
        <v>129</v>
      </c>
      <c r="B185" s="4">
        <v>69389687</v>
      </c>
    </row>
    <row r="186" spans="1:2" x14ac:dyDescent="0.3">
      <c r="A186" s="2" t="s">
        <v>128</v>
      </c>
      <c r="B186" s="4">
        <v>65538041</v>
      </c>
    </row>
    <row r="187" spans="1:2" x14ac:dyDescent="0.3">
      <c r="A187" s="2" t="s">
        <v>27</v>
      </c>
      <c r="B187" s="4">
        <v>49715935</v>
      </c>
    </row>
    <row r="188" spans="1:2" x14ac:dyDescent="0.3">
      <c r="A188" s="2" t="s">
        <v>133</v>
      </c>
      <c r="B188" s="4">
        <v>44784796</v>
      </c>
    </row>
    <row r="189" spans="1:2" x14ac:dyDescent="0.3">
      <c r="A189" s="2" t="s">
        <v>109</v>
      </c>
      <c r="B189" s="4">
        <v>41029283</v>
      </c>
    </row>
    <row r="190" spans="1:2" x14ac:dyDescent="0.3">
      <c r="A190" s="2" t="s">
        <v>37</v>
      </c>
      <c r="B190" s="4">
        <v>38332005</v>
      </c>
    </row>
    <row r="191" spans="1:2" x14ac:dyDescent="0.3">
      <c r="A191" s="2" t="s">
        <v>121</v>
      </c>
      <c r="B191" s="4">
        <v>24903731</v>
      </c>
    </row>
    <row r="192" spans="1:2" x14ac:dyDescent="0.3">
      <c r="A192" s="2" t="s">
        <v>118</v>
      </c>
      <c r="B192" s="4">
        <v>20425486</v>
      </c>
    </row>
    <row r="193" spans="1:2" x14ac:dyDescent="0.3">
      <c r="A193" s="2" t="s">
        <v>113</v>
      </c>
      <c r="B193" s="4">
        <v>20123872</v>
      </c>
    </row>
    <row r="194" spans="1:2" x14ac:dyDescent="0.3">
      <c r="A194" s="2" t="s">
        <v>127</v>
      </c>
      <c r="B194" s="4">
        <v>20055244</v>
      </c>
    </row>
    <row r="195" spans="1:2" x14ac:dyDescent="0.3">
      <c r="A195" s="2" t="s">
        <v>119</v>
      </c>
      <c r="B195" s="4">
        <v>18746091</v>
      </c>
    </row>
    <row r="196" spans="1:2" x14ac:dyDescent="0.3">
      <c r="A196" s="2" t="s">
        <v>115</v>
      </c>
      <c r="B196" s="4">
        <v>11625866</v>
      </c>
    </row>
    <row r="197" spans="1:2" x14ac:dyDescent="0.3">
      <c r="A197" s="2" t="s">
        <v>112</v>
      </c>
      <c r="B197" s="4">
        <v>6748866</v>
      </c>
    </row>
    <row r="198" spans="1:2" x14ac:dyDescent="0.3">
      <c r="A198" s="2" t="s">
        <v>117</v>
      </c>
      <c r="B198" s="4">
        <v>6729268</v>
      </c>
    </row>
    <row r="199" spans="1:2" x14ac:dyDescent="0.3">
      <c r="A199" s="2" t="s">
        <v>63</v>
      </c>
      <c r="B199" s="4">
        <v>3070189</v>
      </c>
    </row>
    <row r="200" spans="1:2" x14ac:dyDescent="0.3">
      <c r="A200" s="2" t="s">
        <v>110</v>
      </c>
      <c r="B200" s="4">
        <v>2038098</v>
      </c>
    </row>
    <row r="201" spans="1:2" x14ac:dyDescent="0.3">
      <c r="A201" s="2" t="s">
        <v>130</v>
      </c>
      <c r="B201" s="4">
        <v>1891554</v>
      </c>
    </row>
    <row r="202" spans="1:2" x14ac:dyDescent="0.3">
      <c r="A202" s="2" t="s">
        <v>124</v>
      </c>
      <c r="B202" s="4">
        <v>1298491</v>
      </c>
    </row>
    <row r="203" spans="1:2" x14ac:dyDescent="0.3">
      <c r="A203" s="2" t="s">
        <v>25</v>
      </c>
      <c r="B203" s="4">
        <v>1202325</v>
      </c>
    </row>
    <row r="204" spans="1:2" x14ac:dyDescent="0.3">
      <c r="A204" s="2" t="s">
        <v>132</v>
      </c>
      <c r="B204" s="4">
        <v>751298</v>
      </c>
    </row>
    <row r="205" spans="1:2" x14ac:dyDescent="0.3">
      <c r="A205" s="2" t="s">
        <v>114</v>
      </c>
      <c r="B205" s="4">
        <v>725177</v>
      </c>
    </row>
    <row r="206" spans="1:2" x14ac:dyDescent="0.3">
      <c r="A206" s="2" t="s">
        <v>91</v>
      </c>
      <c r="B206" s="4">
        <v>718223</v>
      </c>
    </row>
    <row r="207" spans="1:2" x14ac:dyDescent="0.3">
      <c r="A207" s="2" t="s">
        <v>111</v>
      </c>
      <c r="B207" s="4">
        <v>607296</v>
      </c>
    </row>
    <row r="208" spans="1:2" x14ac:dyDescent="0.3">
      <c r="A208" s="2" t="s">
        <v>47</v>
      </c>
      <c r="B208" s="4">
        <v>287806</v>
      </c>
    </row>
    <row r="209" spans="1:2" x14ac:dyDescent="0.3">
      <c r="A209" s="2" t="s">
        <v>123</v>
      </c>
      <c r="B209" s="4">
        <v>233976</v>
      </c>
    </row>
    <row r="210" spans="1:2" x14ac:dyDescent="0.3">
      <c r="A210" s="2" t="s">
        <v>125</v>
      </c>
      <c r="B210" s="4">
        <v>197166</v>
      </c>
    </row>
    <row r="211" spans="1:2" x14ac:dyDescent="0.3">
      <c r="A211" s="2" t="s">
        <v>126</v>
      </c>
      <c r="B211" s="4">
        <v>143023</v>
      </c>
    </row>
    <row r="212" spans="1:2" x14ac:dyDescent="0.3">
      <c r="A212" s="2" t="s">
        <v>122</v>
      </c>
      <c r="B212" s="4">
        <v>11680</v>
      </c>
    </row>
    <row r="213" spans="1:2" x14ac:dyDescent="0.3">
      <c r="A213" s="2" t="s">
        <v>82</v>
      </c>
      <c r="B213" s="4">
        <v>2970779255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F72B-03BF-4213-886A-0CD2C5EB8C65}">
  <dimension ref="A1"/>
  <sheetViews>
    <sheetView tabSelected="1" topLeftCell="A9" zoomScale="85" zoomScaleNormal="85" workbookViewId="0">
      <selection activeCell="F49" sqref="F49"/>
    </sheetView>
  </sheetViews>
  <sheetFormatPr defaultRowHeight="14.4" x14ac:dyDescent="0.3"/>
  <sheetData>
    <row r="1" spans="1:1" x14ac:dyDescent="0.3">
      <c r="A1" t="s">
        <v>84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1495D-BA51-4452-927A-CD3CC1071B88}">
  <dimension ref="A1"/>
  <sheetViews>
    <sheetView zoomScale="85" zoomScaleNormal="85" workbookViewId="0">
      <selection activeCell="U12" sqref="U12"/>
    </sheetView>
  </sheetViews>
  <sheetFormatPr defaultRowHeight="14.4" x14ac:dyDescent="0.3"/>
  <sheetData>
    <row r="1" spans="1:1" x14ac:dyDescent="0.3">
      <c r="A1" t="s">
        <v>84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281797-B32A-4249-9077-93F0C310D4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Charts</vt:lpstr>
      <vt:lpstr>Sheet2</vt:lpstr>
      <vt:lpstr>Dashboard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POOJAL</dc:creator>
  <cp:lastModifiedBy>POOJAL</cp:lastModifiedBy>
  <dcterms:created xsi:type="dcterms:W3CDTF">2026-04-06T05:55:29Z</dcterms:created>
  <dcterms:modified xsi:type="dcterms:W3CDTF">2026-04-10T12:39:40Z</dcterms:modified>
</cp:coreProperties>
</file>